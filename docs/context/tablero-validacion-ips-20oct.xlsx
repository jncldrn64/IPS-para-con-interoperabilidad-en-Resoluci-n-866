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3.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eeme" sheetId="1" state="visible" r:id="rId3"/>
    <sheet name="Ajustes al prompt" sheetId="2" state="visible" r:id="rId4"/>
    <sheet name="Validación" sheetId="3" state="visible" r:id="rId5"/>
    <sheet name="Entidades" sheetId="4" state="visible" r:id="rId6"/>
    <sheet name="Anexo 1 a 49" sheetId="5" state="visible" r:id="rId7"/>
    <sheet name="Backlog v3" sheetId="6" state="visible" r:id="rId8"/>
    <sheet name="Historias" sheetId="7" state="visible" r:id="rId9"/>
    <sheet name="Ajustes por historia" sheetId="8" state="visible" r:id="rId10"/>
    <sheet name="Por redactar" sheetId="9" state="visible" r:id="rId11"/>
    <sheet name="Decisiones" sheetId="10" state="visible" r:id="rId12"/>
    <sheet name="Retroalimentación" sheetId="11" state="visible" r:id="rId13"/>
    <sheet name="Reglas comunes" sheetId="12" state="visible" r:id="rId14"/>
    <sheet name="Escenarios" sheetId="13" state="visible" r:id="rId15"/>
  </sheets>
  <definedNames>
    <definedName function="false" hidden="true" localSheetId="7" name="_xlnm._FilterDatabase" vbProcedure="false">'Ajustes por historia'!$A$1:$J$105</definedName>
    <definedName function="false" hidden="true" localSheetId="4" name="_xlnm._FilterDatabase" vbProcedure="false">'Anexo 1 a 49'!$A$1:$O$78</definedName>
    <definedName function="false" hidden="true" localSheetId="12" name="_xlnm._FilterDatabase" vbProcedure="false">Escenarios!$A$1:$I$334</definedName>
    <definedName function="false" hidden="true" localSheetId="6" name="_xlnm._FilterDatabase" vbProcedure="false">Historias!$A$1:$AF$34</definedName>
    <definedName function="false" hidden="true" localSheetId="8" name="_xlnm._FilterDatabase" vbProcedure="false">'Por redactar'!$A$1:$Q$41</definedName>
    <definedName function="false" hidden="true" localSheetId="10" name="_xlnm._FilterDatabase" vbProcedure="false">Retroalimentación!$A$1:$E$16</definedName>
    <definedName function="false" hidden="true" localSheetId="2" name="_xlnm._FilterDatabase" vbProcedure="false">Validación!$A$1:$AC$29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<sst xmlns="http://schemas.openxmlformats.org/spreadsheetml/2006/main" count="6272" uniqueCount="2359">
  <si>
    <t xml:space="preserve">Tablero de validación: IPS Salud y Vida</t>
  </si>
  <si>
    <t xml:space="preserve">Para qué es</t>
  </si>
  <si>
    <t xml:space="preserve">Validar, entre los cuatro y en línea, el anexo técnico de la Resolución 866 de 2021 contra las 33 historias entregadas, antes de mover cambios a Trello. Trello sigue siendo el backlog que evalúa el docente; este archivo es el lugar de trabajo.</t>
  </si>
  <si>
    <t xml:space="preserve">Un solo archivo</t>
  </si>
  <si>
    <t xml:space="preserve">Se trabaja solo en línea, en este enlace. Nadie descarga, edita en su equipo y vuelve a subir: eso pisa el trabajo de los demás.</t>
  </si>
  <si>
    <t xml:space="preserve">Colores de columna</t>
  </si>
  <si>
    <t xml:space="preserve">Encabezado gris oscuro y celdas grises: referencia, no se edita. Encabezado azul y celdas amarillas: se llenan. Encabezado gris medio: fórmulas, no se tocan.</t>
  </si>
  <si>
    <t xml:space="preserve">Fuente que manda</t>
  </si>
  <si>
    <t xml:space="preserve">El PDF del anexo, hojas 13 a 25. Las columnas "referencia" de la hoja Validación son una transcripción hecha con IA: sirven para guiarse, y si no coinciden con la hoja del PDF, manda la hoja.</t>
  </si>
  <si>
    <t xml:space="preserve">Ajustes al prompt</t>
  </si>
  <si>
    <t xml:space="preserve">Antes de analizar cualquier fila, leer la hoja Ajustes al prompt, que es el mismo texto del archivo ajustes-prompt-v2.1.md. Aplican a todos los bloques desde el 2026-10-18 y mandan sobre el prompt v2.1 donde choquen.</t>
  </si>
  <si>
    <t xml:space="preserve">Protocolo</t>
  </si>
  <si>
    <t xml:space="preserve">1. Para tomar una fila: primero tu nombre en Responsable, después Estado en "En análisis". La columna "¿Se puede tomar?" cambia sola.</t>
  </si>
  <si>
    <t xml:space="preserve">2. Al terminar: Estado en "Analizado", con Fuente del análisis y Detalle de la fuente llenos. La fila queda como "Lista para revisar".</t>
  </si>
  <si>
    <t xml:space="preserve">3. Otra persona revisa contra el PDF, se pone como Revisor y cambia el Estado a "Aprobado". Nadie aprueba lo suyo: la columna Alerta lo marca.</t>
  </si>
  <si>
    <t xml:space="preserve">4. Solo lo aprobado pasa a Trello. El comentario de la tarjeta copia la fuente y la fecha de la fila, y aquí se anota el ID en Trello con Estado "En Trello".</t>
  </si>
  <si>
    <t xml:space="preserve">Si falta una decisión del equipo para seguir: Estado "Bloqueado" y en "Bloqueada por" el número de la hoja Decisiones, por ejemplo D-02.</t>
  </si>
  <si>
    <t xml:space="preserve">Ejemplo de fila tomada</t>
  </si>
  <si>
    <t xml:space="preserve">Responsable: Juliana · Estado: En análisis · Fuente del análisis: Hoja del PDF del anexo · Detalle de la fuente: hoja 15, fila del elemento 12 · Fecha de inicio: 2026-10-18</t>
  </si>
  <si>
    <t xml:space="preserve">Estado al 2026-10-20</t>
  </si>
  <si>
    <t xml:space="preserve">Al 2026-10-20 las 28 filas de Validación y las 33 historias están analizadas por Juan Fernando con apoyo de un modelo. V-18 queda bloqueada por D-05. La revisión la hace otra persona: Revisor distinto de Responsable. Criterio de la columna L: “Sí” solo si las columnas F a K coinciden con la hoja letra por letra, salvo separadores; una paráfrasis o una tilde distinta cuenta como diferencia. Una revisión independiente cotejó las 28 filas contra las hojas 13 a 18. Resumen de entidades y conteo de historias en la hoja Entidades. Los elementos 24 a 49 no están en el tablero: dependen de D-16. Las celdas L2:L22 se habían llenado por arrastre y se rehicieron contra las hojas del PDF. Retroalimentación: los 63 comentarios del docente de HU-001 a HU-030, de la exportación de Trello del 19 oct 2026; HU-031 a HU-033 no están en esa exportación. Ajustes por historia en lenguaje simple: cada historia remite al numeral del anexo en vez de copiar formatos.</t>
  </si>
  <si>
    <t xml:space="preserve">Reparto sugerido</t>
  </si>
  <si>
    <t xml:space="preserve">Todas las filas están analizadas por Juan Fernando. Cada integrante toma un bloque como Revisor (columna Z), contra el PDF, y cambia el Estado a Aprobado o lo devuelve. Bloque A, elementos 1 a 6 · Bloque B, 7 a 12 · Bloque C, 13 a 18 · Bloque D, 19 a 23. Las historias se revisan con la hoja Ajustes por historia.</t>
  </si>
  <si>
    <t xml:space="preserve">El mapa</t>
  </si>
  <si>
    <t xml:space="preserve">mapa-anexo-vs-backlog.md se abre cuando cada uno termine su bloque, para comparar. Antes de eso condiciona la validación.</t>
  </si>
  <si>
    <t xml:space="preserve">Hojas</t>
  </si>
  <si>
    <t xml:space="preserve">Validación: una fila por componente del anexo. Historias: las 33 entregadas, texto sin cambios. Por redactar: IDs reservados para las historias que falten. Decisiones: lo que el equipo debe acordar. Retroalimentación: los textos del docente tal como llegaron. Escenarios: los criterios BDD de las 33. Reglas comunes: RC-1 a RC-11 (RC-6 a RC-11 son del backlog v3). Ajustes por historia: una fila por historia y fila de validación; los ajustes van ahí y no en la hoja Historias, para que dos bloques no escriban en la misma celda. Ajustes al prompt: correcciones al prompt v2.1. Entidades: cada entidad con su regla, sus historias existentes y nuevas, y el total del backlog según D-17. Historias, columnas R a T: resultado y resumen por historia; el detalle por escenario sigue en Ajustes por historia. Anexo 1 a 49: una fila por componente de los 49 elementos, con lo que cubre este backlog, lo que cubren los compañeros y lo que falta; del 24 al 49 la clasificación es preliminar (D-16). Backlog v3: las 30 historias del plan de reescritura, con su origen, su tanda, su estado y el archivo de su borrador (carpeta backlog-v3); las hojas Ajustes por historia y Retroalimentación dicen a qué historia del v3 va cada fila.</t>
  </si>
  <si>
    <t xml:space="preserve">Avance</t>
  </si>
  <si>
    <t xml:space="preserve">Cantidad</t>
  </si>
  <si>
    <t xml:space="preserve">Validación: libres</t>
  </si>
  <si>
    <t xml:space="preserve">Validación: en análisis</t>
  </si>
  <si>
    <t xml:space="preserve">Validación: analizadas</t>
  </si>
  <si>
    <t xml:space="preserve">Validación: en revisión</t>
  </si>
  <si>
    <t xml:space="preserve">Validación: aprobadas</t>
  </si>
  <si>
    <t xml:space="preserve">Validación: bloqueadas</t>
  </si>
  <si>
    <t xml:space="preserve">Validación: filas con alerta</t>
  </si>
  <si>
    <t xml:space="preserve">Historias: filas con alerta</t>
  </si>
  <si>
    <t xml:space="preserve">Historias: resultado Cumple</t>
  </si>
  <si>
    <t xml:space="preserve">Historias: resultado Ajustar</t>
  </si>
  <si>
    <t xml:space="preserve">Historias: resultado Sobra</t>
  </si>
  <si>
    <t xml:space="preserve">Historias: libres</t>
  </si>
  <si>
    <t xml:space="preserve">Historias: aprobadas o en Trello</t>
  </si>
  <si>
    <t xml:space="preserve">Historias por redactar en uso</t>
  </si>
  <si>
    <t xml:space="preserve">Decisiones pendientes</t>
  </si>
  <si>
    <t xml:space="preserve">Ajustes por historia: filas</t>
  </si>
  <si>
    <t xml:space="preserve">Total de historias si D-17 = una por operación</t>
  </si>
  <si>
    <t xml:space="preserve">Total de historias si D-17 = una por entidad</t>
  </si>
  <si>
    <t xml:space="preserve">N.º</t>
  </si>
  <si>
    <t xml:space="preserve">Ajuste al prompt v2.1 (2026-10-18). Mismo texto que ajustes-prompt-v2.1.md</t>
  </si>
  <si>
    <t xml:space="preserve">Umbral. El numeral 2.3 dice "más de 5 opciones seleccionables" y la revisión General del docente lo repite ("campos con más de cinco opciones"). Usa más de 5. Una lista de exactamente 5 valores es campo, y en Observaciones escribe "Depende de D-01".</t>
  </si>
  <si>
    <t xml:space="preserve">Reutilizar va antes de las preguntas 2 y 3. Si otro componente usa el mismo catálogo, la entidad es de la fila con el número V más bajo; las demás filas se clasifican "Reutiliza otra entidad" y no proponen historias. Ejemplo: V-01 crea Países y V-12 la reutiliza.</t>
  </si>
  <si>
    <t xml:space="preserve">El numeral 2.1 de la guía tiene 7 filas, no 2. Además de las dos estructuras separadas: un paciente puede tener más de un país de nacionalidad; la fecha de nacimiento se separa de la hora; la ocupación solo admite las ocupaciones hijas del CIUO-88 AC; un paciente puede registrar más de una discapacidad; la ciudad de residencia se registra con su código DANE. Cada una da al menos un escenario en las historias del paciente; HU-004 a HU-006 ya las tienen.</t>
  </si>
  <si>
    <t xml:space="preserve">Escenarios que le faltan a la tabla del prompt: dato con varios valores (se aceptan dos o más); catálogo donde solo se eligen hijas (una categoría padre se rechaza); fecha con longitud mínima 10 y máxima 16 (la hora puede faltar); código con cero inicial ("1" en vez de "01" se rechaza por la longitud mínima).</t>
  </si>
  <si>
    <t xml:space="preserve">Tipos (propuesta D-18). Cada componente se guarda con el tipo de la columna Tipo de la hoja: Alfanumérico es texto de la longitud indicada, aunque sus valores se vean como cifras; Numérico es entero; Fecha es fecha y hora. En los elementos 1 a 23 todos los códigos son Alfanumérico.</t>
  </si>
  <si>
    <t xml:space="preserve">Los datos de los elementos 16 a 23 son de la atención (el contacto con el servicio de salud), no de la historia clínica. Si el componente es campo, en Entidad escribe "Atención". Si es catálogo, la atención guarda el código que apunta a él.</t>
  </si>
  <si>
    <t xml:space="preserve">Catálogos y artículo 7 de la Resolución 866: los catálogos "no podrán ser modificados, reducidos o adicionados". El CRUD que pide el numeral 2.3 crea y actualiza solo para reflejar el catálogo oficial, con su fuente y versión. El llenado inicial de catálogos grandes (CIE-10, DIVIPOLA, CIUO-88, ISO 3166-1) es tarea técnica del equipo, no historia de usuario. No uses "cargar" en una historia.</t>
  </si>
  <si>
    <t xml:space="preserve">El nombre que corresponde a un código va en la misma entidad que el código y no es texto libre. Solo los elementos 1, 7, 11, 12, 15 y 23 traen el nombre como componente propio (Alfanumérico, máximo 200, mínimo 3); en los demás, los nombres están solo dentro de los valores permitidos.</t>
  </si>
  <si>
    <t xml:space="preserve">RC-3 dice "sincronizada". No copies esa palabra en una historia; escribe "PENDIENTE reescribir RC-3".</t>
  </si>
  <si>
    <t xml:space="preserve">Historias nuevas: en la columna "Historias nuevas propuestas" escribe "4 historias; IDs en espera de D-17". No reserves IDs en Por redactar hasta que se decida D-17 (una historia por operación del CRUD o una por entidad).</t>
  </si>
  <si>
    <t xml:space="preserve">Los ajustes a historias existentes van a la hoja "Ajustes por historia", una fila por historia y fila de validación. No escribas en la columna Resultado de la hoja Historias: se consolida al final.</t>
  </si>
  <si>
    <t xml:space="preserve">El prestador (elementos 9 y 16) depende de D-05. Mientras esté Pendiente, clasifícalo "Pendiente de decisión".</t>
  </si>
  <si>
    <t xml:space="preserve">Cuenta los valores en la hoja del PDF. Las columnas "(referencia)" normalizan la redacción de algunos valores (ejemplos en AC24 y AC25): usa la redacción de la hoja. La columna "¿Transcripción confirmada contra el PDF?" la llena quien toma la fila.</t>
  </si>
  <si>
    <t xml:space="preserve">El alcance de los elementos 1 a 23 está por confirmar con el docente (D-16). No cambia tu bloque.</t>
  </si>
  <si>
    <t xml:space="preserve">Las filas V-22 a V-26 (bloque D) ya están analizadas. Sirven de ejemplo del formato de las columnas, no de la clasificación de otros bloques.</t>
  </si>
  <si>
    <t xml:space="preserve">Fila</t>
  </si>
  <si>
    <t xml:space="preserve">Bloque</t>
  </si>
  <si>
    <t xml:space="preserve">Elemento</t>
  </si>
  <si>
    <t xml:space="preserve">Componente</t>
  </si>
  <si>
    <t xml:space="preserve">Hoja del PDF</t>
  </si>
  <si>
    <t xml:space="preserve">Valores (referencia)</t>
  </si>
  <si>
    <t xml:space="preserve">N.º de valores (referencia)</t>
  </si>
  <si>
    <t xml:space="preserve">Tipo (referencia)</t>
  </si>
  <si>
    <t xml:space="preserve">Formato (referencia)</t>
  </si>
  <si>
    <t xml:space="preserve">Long. máx. (referencia)</t>
  </si>
  <si>
    <t xml:space="preserve">Long. mín. (referencia)</t>
  </si>
  <si>
    <t xml:space="preserve">¿Transcripción confirmada contra el PDF?</t>
  </si>
  <si>
    <t xml:space="preserve">N.º de valores contado en el PDF</t>
  </si>
  <si>
    <t xml:space="preserve">Clasificación</t>
  </si>
  <si>
    <t xml:space="preserve">Entidad</t>
  </si>
  <si>
    <t xml:space="preserve">Pregunta del prompt que decidió (1 a 5)</t>
  </si>
  <si>
    <t xml:space="preserve">Historias existentes que lo cubren</t>
  </si>
  <si>
    <t xml:space="preserve">Historias nuevas propuestas</t>
  </si>
  <si>
    <t xml:space="preserve">Responsable</t>
  </si>
  <si>
    <t xml:space="preserve">Estado</t>
  </si>
  <si>
    <t xml:space="preserve">¿Se puede tomar?</t>
  </si>
  <si>
    <t xml:space="preserve">Alerta</t>
  </si>
  <si>
    <t xml:space="preserve">Fuente del análisis</t>
  </si>
  <si>
    <t xml:space="preserve">Detalle de la fuente</t>
  </si>
  <si>
    <t xml:space="preserve">Bloqueada por</t>
  </si>
  <si>
    <t xml:space="preserve">Revisor</t>
  </si>
  <si>
    <t xml:space="preserve">Fecha de inicio</t>
  </si>
  <si>
    <t xml:space="preserve">Fecha de cierre</t>
  </si>
  <si>
    <t xml:space="preserve">Observaciones y diferencias</t>
  </si>
  <si>
    <t xml:space="preserve">V-01</t>
  </si>
  <si>
    <t xml:space="preserve">A</t>
  </si>
  <si>
    <t xml:space="preserve">Código y nombre del país de nacionalidad</t>
  </si>
  <si>
    <t xml:space="preserve">13</t>
  </si>
  <si>
    <t xml:space="preserve">Código a tres caracteres según estándar ISO 3166-1. Nombre correspondiente al código</t>
  </si>
  <si>
    <t xml:space="preserve">El anexo no los enumera</t>
  </si>
  <si>
    <t xml:space="preserve">Alfanumérico</t>
  </si>
  <si>
    <t xml:space="preserve">999 / sin formato</t>
  </si>
  <si>
    <t xml:space="preserve">3 / 200</t>
  </si>
  <si>
    <t xml:space="preserve">3 / 3</t>
  </si>
  <si>
    <t xml:space="preserve">No: hay diferencias</t>
  </si>
  <si>
    <t xml:space="preserve">No los enumera</t>
  </si>
  <si>
    <t xml:space="preserve">Entidad por 2.3</t>
  </si>
  <si>
    <t xml:space="preserve">Países</t>
  </si>
  <si>
    <t xml:space="preserve">HU-018 a HU-021 cubren el CRUD (Ajustar). HU-004 a HU-006 usan el dato; los escenarios de varias nacionalidades cumplen.</t>
  </si>
  <si>
    <t xml:space="preserve">ninguna</t>
  </si>
  <si>
    <t xml:space="preserve">Juan Fernando</t>
  </si>
  <si>
    <t xml:space="preserve">Analizado</t>
  </si>
  <si>
    <t xml:space="preserve">Prompt con IA</t>
  </si>
  <si>
    <t xml:space="preserve">Hoja 13, elemento 1: código ISO 3166-1 (alfanumérico, 999, 3 y 3) y nombre (alfanumérico, 200 y 3). Numeral 2.1: más de un país de nacionalidad. Numeral 2.3: catálogo externo.</t>
  </si>
  <si>
    <t xml:space="preserve">La hoja 13 deja vacíos los valores permitidos del nombre del país; la referencia escribe “Nombre correspondiente al código”. Coinciden tipos, formatos y longitudes. Código ISO 3166-1 de 3 caracteres, alfabético o numérico: PENDIENTE D-03. Varias nacionalidades por paciente (2.1): relación de muchos a muchos entre paciente y país. Fuente y versión del catálogo: PENDIENTE D-21. Carga desde el archivo oficial: funcionalidad de la historia del catálogo (el docente la da por funcional).</t>
  </si>
  <si>
    <t xml:space="preserve">V-02</t>
  </si>
  <si>
    <t xml:space="preserve">Tipo de documento de identificación</t>
  </si>
  <si>
    <t xml:space="preserve">CC Cédula ciudadanía · CE Cédula de extranjería · CD Carné diplomático · PA Pasaporte · SC Salvoconducto de permanencia · PT Permiso Temporal de Permanencia · PE Permiso Especial de Permanencia · RC Registro civil · TI Tarjeta de identidad · CN Certificado de nacido vivo · AS Adulto sin identificar · MS Menor sin identificar · DE Documento extranjero · SI Sin identificación</t>
  </si>
  <si>
    <t xml:space="preserve">14</t>
  </si>
  <si>
    <t xml:space="preserve">99</t>
  </si>
  <si>
    <t xml:space="preserve">2</t>
  </si>
  <si>
    <t xml:space="preserve">Sí</t>
  </si>
  <si>
    <t xml:space="preserve">Tipos de documento de identificación</t>
  </si>
  <si>
    <t xml:space="preserve">Ninguna cubre el CRUD. HU-004 a HU-006 usan el dato (Ajustar).</t>
  </si>
  <si>
    <t xml:space="preserve">4 historias; IDs en espera de D-17</t>
  </si>
  <si>
    <t xml:space="preserve">Hoja 13, elemento 2: 14 valores, alfanumérico, formato 99, longitud 2 y 2. Numeral 2.3: más de 5 opciones. Retroalimentación HU-004: clave del duplicado por tipo y número.</t>
  </si>
  <si>
    <t xml:space="preserve">Coinciden los 14 valores, tipo, formato y longitudes. Clave de paciente duplicado: tipo y número de documento, PENDIENTE D-07. Cargo que mantiene el catálogo: PENDIENTE D-02. Representación del código: PENDIENTE D-18.</t>
  </si>
  <si>
    <t xml:space="preserve">V-03</t>
  </si>
  <si>
    <t xml:space="preserve">Número de documento de identificación</t>
  </si>
  <si>
    <t xml:space="preserve">Conjunto de caracteres asignados a una persona de acuerdo con el tipo de documento</t>
  </si>
  <si>
    <t xml:space="preserve">No aplica: dato abierto</t>
  </si>
  <si>
    <t xml:space="preserve">sin formato</t>
  </si>
  <si>
    <t xml:space="preserve">20</t>
  </si>
  <si>
    <t xml:space="preserve">3</t>
  </si>
  <si>
    <t xml:space="preserve">No aplica</t>
  </si>
  <si>
    <t xml:space="preserve">Campo del paciente</t>
  </si>
  <si>
    <t xml:space="preserve">Paciente</t>
  </si>
  <si>
    <t xml:space="preserve">HU-004, HU-005, HU-006 (Ajustar).</t>
  </si>
  <si>
    <t xml:space="preserve">Hoja 13, elemento 2: número de documento, alfanumérico, longitud 20 y 3, dato abierto.</t>
  </si>
  <si>
    <t xml:space="preserve">La referencia abrevia el texto de la hoja (“…para efectos de identidad e individualización dentro del territorio nacional”). Dato abierto de 3 a 20 caracteres alfanuméricos. Con el tipo forma la clave del duplicado (D-07).</t>
  </si>
  <si>
    <t xml:space="preserve">V-04</t>
  </si>
  <si>
    <t xml:space="preserve">Primer apellido, segundo apellido, primer nombre, segundo nombre</t>
  </si>
  <si>
    <t xml:space="preserve">Según el documento de identificación</t>
  </si>
  <si>
    <t xml:space="preserve">60 cada uno</t>
  </si>
  <si>
    <t xml:space="preserve">2 cada uno</t>
  </si>
  <si>
    <t xml:space="preserve">Hoja 13, elemento 3: primer y segundo apellido, primer y segundo nombre, alfanumérico, longitud 60 y 2 cada uno.</t>
  </si>
  <si>
    <t xml:space="preserve">Cuatro componentes con los mismos límites: 2 a 60 caracteres. Que se acepten tildes, ñ y espacios es un supuesto a confirmar con el equipo. Cuáles son obligatorios (el segundo nombre y el segundo apellido pueden no existir): PENDIENTE D-19. La hoja escribe “De acuerdo como se especifica en el documento de identificación”; la referencia, “Según el documento de identificación”.</t>
  </si>
  <si>
    <t xml:space="preserve">V-05</t>
  </si>
  <si>
    <t xml:space="preserve">Fecha y hora de nacimiento</t>
  </si>
  <si>
    <t xml:space="preserve">Según el documento de identificación o como la declare el individuo</t>
  </si>
  <si>
    <t xml:space="preserve">Fecha</t>
  </si>
  <si>
    <t xml:space="preserve">AAAA-MM-DD HH:MM</t>
  </si>
  <si>
    <t xml:space="preserve">16</t>
  </si>
  <si>
    <t xml:space="preserve">10</t>
  </si>
  <si>
    <t xml:space="preserve">HU-004, HU-005, HU-006. Los escenarios de fecha separada de la hora y de hora faltante cumplen; faltan los de formato (Ajustar).</t>
  </si>
  <si>
    <t xml:space="preserve">Hoja 13, elemento 4: Fecha, AAAA-MM-DD HH:MM, longitud 16 y 10. Numeral 2.1: separar fecha y hora. Retroalimentación HU-004 ampliada: fecha sin hora compatible con la mínima de 10.</t>
  </si>
  <si>
    <t xml:space="preserve">La mínima de 10 permite la fecha sin hora; el numeral 2.1 pide separar fecha y hora: dos campos del paciente. Se guarda como fecha y hora: PENDIENTE D-18. La hoja escribe “De acuerdo como se especifica” donde la referencia escribe “Según”.</t>
  </si>
  <si>
    <t xml:space="preserve">V-06</t>
  </si>
  <si>
    <t xml:space="preserve">Sexo biológico</t>
  </si>
  <si>
    <t xml:space="preserve">01 Hombre · 02 Mujer · 03 Indeterminado/Intersexual</t>
  </si>
  <si>
    <t xml:space="preserve">Hoja 13, elemento 5: 3 valores, alfanumérico, formato 99, longitud 2 y 2. Numeral 2.3: no llega a más de 5 opciones.</t>
  </si>
  <si>
    <t xml:space="preserve">Lista de 3 valores. Campo del paciente. Se guarda como texto de 2 caracteres: PENDIENTE D-18.</t>
  </si>
  <si>
    <t xml:space="preserve">V-07</t>
  </si>
  <si>
    <t xml:space="preserve">Identidad de género</t>
  </si>
  <si>
    <t xml:space="preserve">01 Masculino · 02 Femenino · 03 Transgénero · 04 Neutro · 05 No lo declara</t>
  </si>
  <si>
    <t xml:space="preserve">5</t>
  </si>
  <si>
    <t xml:space="preserve">Hoja 14, elemento 6: 5 valores, alfanumérico, formato 99, longitud 2 y 2. Numeral 2.3: no llega a más de 5 opciones. D-01.</t>
  </si>
  <si>
    <t xml:space="preserve">Lista de exactamente 5 valores. Depende de D-01: si el umbral pasa a 5 o más, cambia a Entidad por 2.3 con 4 historias nuevas.</t>
  </si>
  <si>
    <t xml:space="preserve">V-08</t>
  </si>
  <si>
    <t xml:space="preserve">B</t>
  </si>
  <si>
    <t xml:space="preserve">Código y nombre de la ocupación</t>
  </si>
  <si>
    <t xml:space="preserve">Catálogo CIUO-88 A.C., Clasificación Internacional Uniforme de Ocupaciones Adaptada para Colombia por el DANE. Nombre correspondiente al código</t>
  </si>
  <si>
    <t xml:space="preserve">9999 / sin formato</t>
  </si>
  <si>
    <t xml:space="preserve">4 / 200</t>
  </si>
  <si>
    <t xml:space="preserve">4 / 3</t>
  </si>
  <si>
    <t xml:space="preserve">Ocupaciones</t>
  </si>
  <si>
    <t xml:space="preserve">HU-022 a HU-025 cubren el CRUD (Ajustar). HU-004 a HU-006 usan el dato; los escenarios de solo ocupaciones hijas cumplen.</t>
  </si>
  <si>
    <t xml:space="preserve">Hoja 14, elemento 7: código CIUO-88 A.C. (alfanumérico, 9999, 4 y 4) y nombre (200 y 3). Numeral 2.1: solo ocupaciones hijas. Numeral 2.3: catálogo externo.</t>
  </si>
  <si>
    <t xml:space="preserve">Código de exactamente 4 caracteres: solo se asocian ocupaciones de ese nivel, coherente con “solo las ocupaciones hijas” del 2.1. Que la CIUO-88 A.C. tenga niveles de 1 a 3 caracteres por encima es inferencia del modelo, no está en la hoja. Fuente y versión del catálogo: PENDIENTE D-21. Carga desde el archivo oficial: funcionalidad de la historia del catálogo (el docente la da por funcional).</t>
  </si>
  <si>
    <t xml:space="preserve">V-09</t>
  </si>
  <si>
    <t xml:space="preserve">Manifestación de oposición a la presunción legal de donación, y fecha del documento</t>
  </si>
  <si>
    <t xml:space="preserve">01 Sí · 02 No. Fecha en que se suscribe el documento válido ante el INS o la entidad administradora del plan de beneficios</t>
  </si>
  <si>
    <t xml:space="preserve">Alfanumérico / Fecha</t>
  </si>
  <si>
    <t xml:space="preserve">99 / AAAA-MM-DD</t>
  </si>
  <si>
    <t xml:space="preserve">2 / 10</t>
  </si>
  <si>
    <t xml:space="preserve">Entidad por 2.1</t>
  </si>
  <si>
    <t xml:space="preserve">Oposición a la presunción legal de donación</t>
  </si>
  <si>
    <t xml:space="preserve">HU-010 a HU-013 (Ajustar).</t>
  </si>
  <si>
    <t xml:space="preserve">Hoja 14, elemento 8: manifestación (01 Sí, 02 No; alfanumérico, 99, 2 y 2) y fecha de suscripción del documento (Fecha, AAAA-MM-DD, 10 y 10). Numeral 2.1: estructura separada (CRUD).</t>
  </si>
  <si>
    <t xml:space="preserve">Estructura separada por el 2.1. La fecha es la de suscripción del documento válido ante el Instituto Nacional de Salud o la Entidad Administradora del Plan de Beneficios; HU-010 escenario 4 usa otra fecha. Eliminar como inactivación: PENDIENTE D-20. Hoja 14: “01: Si”, sin tilde; la referencia escribe “Sí” y abrevia “Instituto Nacional de Salud” como “INS”.</t>
  </si>
  <si>
    <t xml:space="preserve">V-10</t>
  </si>
  <si>
    <t xml:space="preserve">Documento de voluntad anticipada, fecha y código del prestador donde se encuentra</t>
  </si>
  <si>
    <t xml:space="preserve">01 Sí · 02 No. Fecha de suscripción, modificación, sustitución o revocación. Código del prestador donde se encuentra el documento</t>
  </si>
  <si>
    <t xml:space="preserve">Alfanumérico / Fecha / Alfanumérico</t>
  </si>
  <si>
    <t xml:space="preserve">99 / AAAA-MM-DD / 999999999999</t>
  </si>
  <si>
    <t xml:space="preserve">2 / 10 / 12</t>
  </si>
  <si>
    <t xml:space="preserve">Documento de voluntad anticipada</t>
  </si>
  <si>
    <t xml:space="preserve">HU-014 a HU-017 (Ajustar).</t>
  </si>
  <si>
    <t xml:space="preserve">Hoja 14, elemento 9: documento (01 Sí, 02 No; 99, 2 y 2), fecha de suscripción, modificación, sustitución o revocación (AAAA-MM-DD, 10 y 10) y código del prestador donde reposa (999999999999, 12 y 12). Numeral 2.1: estructura separada (CRUD).</t>
  </si>
  <si>
    <t xml:space="preserve">Estructura separada por el 2.1. La revocación es una actualización con su fecha, porque la hoja la pone en el mismo campo que la suscripción: resuelve el pendiente 2 de la tanda 3. El código del prestador depende de D-05. Si es catálogo, por el ajuste 2 lo propondría esta fila, la más baja; se deja en V-18, porque allí el código es el dato de la fila y aquí es un componente de la estructura. Eliminar como inactivación: PENDIENTE D-20. Hoja 14: “01: Si”, sin tilde; la referencia escribe “Sí”.</t>
  </si>
  <si>
    <t xml:space="preserve">V-11</t>
  </si>
  <si>
    <t xml:space="preserve">Categoría de discapacidad</t>
  </si>
  <si>
    <t xml:space="preserve">14 y 15</t>
  </si>
  <si>
    <t xml:space="preserve">01 Discapacidad física · 02 Discapacidad visual · 03 Discapacidad auditiva · 04 Discapacidad intelectual · 05 Discapacidad psicosocial (mental) · 06 Sordoceguera · 07 Discapacidad múltiple · 08 Sin discapacidad</t>
  </si>
  <si>
    <t xml:space="preserve">8</t>
  </si>
  <si>
    <t xml:space="preserve">Categorías de discapacidad</t>
  </si>
  <si>
    <t xml:space="preserve">Ninguna cubre el CRUD. HU-004 a HU-006 usan el dato; los escenarios de varias discapacidades cumplen.</t>
  </si>
  <si>
    <t xml:space="preserve">Hojas 14 y 15, elemento 10: 8 valores, alfanumérico, formato 99, longitud 2 y 2. Numeral 2.1: más de una discapacidad. Numeral 2.3: más de 5 opciones.</t>
  </si>
  <si>
    <t xml:space="preserve">Hojas 14 y 15, valor 05: “Discapacidad sicosocial (mental)”, con el paréntesis en la hoja 15; la referencia escribe “psicosocial”. Coinciden conteo, tipo, formato y longitudes. Varias discapacidades por paciente (2.1): relación de muchos a muchos. La tanda 4a afirma que ningún campo del 2.1 pasa de 5 opciones: esta lista tiene 8. Cargo: PENDIENTE D-02.</t>
  </si>
  <si>
    <t xml:space="preserve">V-12</t>
  </si>
  <si>
    <t xml:space="preserve">Código y nombre del país de residencia habitual</t>
  </si>
  <si>
    <t xml:space="preserve">15</t>
  </si>
  <si>
    <t xml:space="preserve">Reutiliza otra entidad</t>
  </si>
  <si>
    <t xml:space="preserve">HU-018 a HU-021 (catálogo de países). HU-004 a HU-006 no nombran el país de residencia (Ajustar).</t>
  </si>
  <si>
    <t xml:space="preserve">Hoja 15, elemento 11: código ISO 3166-1 (3 y 3) y nombre (200 y 3). Mismo catálogo que V-01. Ajuste 2 del prompt: la entidad es de la fila más baja.</t>
  </si>
  <si>
    <t xml:space="preserve">Mismo catálogo que V-01 (ISO 3166-1): no propone historias. Ninguna historia del paciente nombra hoy el país de residencia habitual.</t>
  </si>
  <si>
    <t xml:space="preserve">V-13</t>
  </si>
  <si>
    <t xml:space="preserve">Código y nombre del municipio de residencia habitual</t>
  </si>
  <si>
    <t xml:space="preserve">Código según DIVIPOLA del DANE: dos dígitos de departamento y tres de municipio. Nombre correspondiente al código</t>
  </si>
  <si>
    <t xml:space="preserve">99999 / sin formato</t>
  </si>
  <si>
    <t xml:space="preserve">5 / 200</t>
  </si>
  <si>
    <t xml:space="preserve">5 / 3</t>
  </si>
  <si>
    <t xml:space="preserve">Municipios</t>
  </si>
  <si>
    <t xml:space="preserve">HU-026 a HU-029 cubren el CRUD (Ajustar). HU-004 a HU-006 usan el dato; los escenarios de código DANE cumplen.</t>
  </si>
  <si>
    <t xml:space="preserve">Hoja 15, elemento 12: código DIVIPOLA (alfanumérico, 99999, 5 y 5) y nombre (200 y 3). Numeral 2.1: ciudad con código DANE. Numeral 2.3: catálogo externo.</t>
  </si>
  <si>
    <t xml:space="preserve">Código DIVIPOLA de 5 caracteres: 2 del departamento y 3 del municipio (Medellín 05001; como entero pierde el 0). Supuesto: si la residencia habitual está fuera de Colombia, el municipio no aplica. Fuente y versión: PENDIENTE D-21. Carga desde el archivo oficial: funcionalidad de la historia del catálogo (el docente la da por funcional). La referencia parafrasea los valores permitidos; la hoja escribe “Código del municipio según División Política Administrativa”.</t>
  </si>
  <si>
    <t xml:space="preserve">V-14</t>
  </si>
  <si>
    <t xml:space="preserve">C</t>
  </si>
  <si>
    <t xml:space="preserve">Etnia</t>
  </si>
  <si>
    <t xml:space="preserve">01 Indígena · 02 ROM (Gitanos) · 03 Raizal (San Andrés y Providencia) · 04 Palenquero de San Basilio de Palenque · 05 Negro(a) · 06 Afrocolombiano(a) · 99 Ninguna de las anteriores</t>
  </si>
  <si>
    <t xml:space="preserve">7</t>
  </si>
  <si>
    <t xml:space="preserve">Etnias</t>
  </si>
  <si>
    <t xml:space="preserve">Ninguna cubre el CRUD. HU-004 a HU-006 no nombran el dato (Ajustar).</t>
  </si>
  <si>
    <t xml:space="preserve">Hoja 15, elemento 13: 7 valores (01 a 06 y 99), alfanumérico, formato 99, longitud 2 y 2. Numeral 2.3: más de 5 opciones.</t>
  </si>
  <si>
    <t xml:space="preserve">Lista de 7 valores. Cargo: PENDIENTE D-02. Representación del código: PENDIENTE D-18. Lectura dudosa: el escaneo de la hoja 15 muestra “Indigena”, posiblemente sin tilde; confirmar en el impreso. Si no la tiene, L pasa a “No: hay diferencias”.</t>
  </si>
  <si>
    <t xml:space="preserve">V-15</t>
  </si>
  <si>
    <t xml:space="preserve">Comunidad étnica</t>
  </si>
  <si>
    <t xml:space="preserve">Según catálogo de referencia de comunidades étnicas vigente</t>
  </si>
  <si>
    <t xml:space="preserve">999</t>
  </si>
  <si>
    <t xml:space="preserve">Comunidades étnicas</t>
  </si>
  <si>
    <t xml:space="preserve">Hoja 15, elemento 13: “según catálogo de comunidades étnicas vigente”, alfanumérico, 999, 3 y 3. Numeral 2.3: catálogo externo.</t>
  </si>
  <si>
    <t xml:space="preserve">Que cada comunidad pertenezca a una etnia es inferencia del modelo por la definición de la hoja; no se agrega como regla. Fuente y versión del catálogo: PENDIENTE D-21. La hoja escribe “Según catálogo de referencia de comunidades étnicas, según catálogo de comunidades étnicas vigente”; la referencia lo acorta.</t>
  </si>
  <si>
    <t xml:space="preserve">V-16</t>
  </si>
  <si>
    <t xml:space="preserve">Zona territorial de residencia</t>
  </si>
  <si>
    <t xml:space="preserve">01 Urbana · 02 Rural</t>
  </si>
  <si>
    <t xml:space="preserve">HU-004, HU-005, HU-006 no nombran el dato (Ajustar).</t>
  </si>
  <si>
    <t xml:space="preserve">Hoja 15, elemento 14: 2 valores, alfanumérico, formato 99, longitud 2 y 2. Numeral 2.3: no llega a más de 5 opciones.</t>
  </si>
  <si>
    <t xml:space="preserve">Lista de 2 valores. Campo del paciente.</t>
  </si>
  <si>
    <t xml:space="preserve">V-17</t>
  </si>
  <si>
    <t xml:space="preserve">Código y nombre de la entidad que responde por el plan de beneficios</t>
  </si>
  <si>
    <t xml:space="preserve">15 y 16</t>
  </si>
  <si>
    <t xml:space="preserve">EPS, entidades adaptadas, regímenes especial y de excepción, fondo de población privada de la libertad, secretarías e institutos de salud, aseguradoras SOAT, planes voluntarios y ARL, según catálogo del Ministerio de Salud. Si la atención es particular, la secretaría de salud del lugar</t>
  </si>
  <si>
    <t xml:space="preserve">999999 / sin formato</t>
  </si>
  <si>
    <t xml:space="preserve">6 / 200</t>
  </si>
  <si>
    <t xml:space="preserve">6 / 3</t>
  </si>
  <si>
    <t xml:space="preserve">Entidades administradoras de planes de beneficios</t>
  </si>
  <si>
    <t xml:space="preserve">Hojas 15 y 16, elemento 15: código (alfanumérico, 999999, 6 y 6) y nombre (200 y 3), “según catálogo que establezca el Ministerio de Salud y Protección Social”. Numeral 2.3: catálogo externo.</t>
  </si>
  <si>
    <t xml:space="preserve">La referencia resume el texto de los valores permitidos; coinciden código y nombre. Fuente y versión del catálogo: PENDIENTE D-21. Si la atención es particular, el código es el de la secretaría de salud del lugar donde se prestó (hoja 16).</t>
  </si>
  <si>
    <t xml:space="preserve">V-18</t>
  </si>
  <si>
    <t xml:space="preserve">Código del prestador de servicios de salud que realiza la atención</t>
  </si>
  <si>
    <t xml:space="preserve">Código asignado en el SGSSS a los prestadores inscritos en el REPS, o asignado por el Ministerio en casos de excepción, publicados en SISPRO</t>
  </si>
  <si>
    <t xml:space="preserve">999999999999</t>
  </si>
  <si>
    <t xml:space="preserve">12</t>
  </si>
  <si>
    <t xml:space="preserve">Pendiente de decisión</t>
  </si>
  <si>
    <t xml:space="preserve">Prestadores si D-05 lo hace catálogo; si no, Atención</t>
  </si>
  <si>
    <t xml:space="preserve">HU-007, HU-008, HU-009 usan el código (Ajustar).</t>
  </si>
  <si>
    <t xml:space="preserve">4 historias si D-05 lo hace catálogo; IDs en espera de D-17</t>
  </si>
  <si>
    <t xml:space="preserve">Bloqueado</t>
  </si>
  <si>
    <t xml:space="preserve">Hoja 16, elemento 16: código del REPS publicado en SISPRO, alfanumérico, 999999999999, 12 y 12. D-05.</t>
  </si>
  <si>
    <t xml:space="preserve">D-05</t>
  </si>
  <si>
    <t xml:space="preserve">Si es catálogo propio depende de D-05. Para una sola IPS, el prestador que realiza la atención puede ser fijo (sus sedes); el del elemento 9 puede ser cualquier prestador del país. Fila bloqueada hasta D-05. La referencia parafrasea el texto de los valores permitidos de la hoja 16.</t>
  </si>
  <si>
    <t xml:space="preserve">V-19</t>
  </si>
  <si>
    <t xml:space="preserve">Fecha y hora de inicio de la atención</t>
  </si>
  <si>
    <t xml:space="preserve">Sin lista</t>
  </si>
  <si>
    <t xml:space="preserve">Campo de la atención</t>
  </si>
  <si>
    <t xml:space="preserve">Atención</t>
  </si>
  <si>
    <t xml:space="preserve">HU-007, HU-008, HU-009 (Ajustar).</t>
  </si>
  <si>
    <t xml:space="preserve">Hoja 16, elemento 17: Fecha, longitud 16 y 16. Retroalimentación HU-007 ampliada: concretar fecha/hora.</t>
  </si>
  <si>
    <t xml:space="preserve">La hoja 16 imprime el formato “AAAA-MM-DD HH MM”, sin dos puntos; los elementos 4 y 22 traen “HH:MM” y la longitud es 16 en los dos casos. Se asume “HH:MM”: supuesto a confirmar. La hora es obligatoria (mínima 16).</t>
  </si>
  <si>
    <t xml:space="preserve">V-20</t>
  </si>
  <si>
    <t xml:space="preserve">Modalidad de realización</t>
  </si>
  <si>
    <t xml:space="preserve">01 Intramural · 02 Extramural unidad móvil · 03 Extramural domiciliaria · 04 Extramural jornada de salud · 05 Extramural (atención prehospitalaria o transporte asistencial) · 06 Telemedicina interactiva · 07 Telemedicina no interactiva · 08 Telemedicina, telexperticia · 09 Telemedicina, telemonitoreo</t>
  </si>
  <si>
    <t xml:space="preserve">9</t>
  </si>
  <si>
    <t xml:space="preserve">Modalidades de realización</t>
  </si>
  <si>
    <t xml:space="preserve">Ninguna cubre el CRUD. HU-007, HU-008 y HU-009 usan el dato (Ajustar).</t>
  </si>
  <si>
    <t xml:space="preserve">Hoja 16, elemento 18: 9 valores, alfanumérico, formato 99, longitud 2 y 2. Numeral 2.3: más de 5 opciones. Retroalimentación HU-007 ampliada: concretar modalidad/grupo.</t>
  </si>
  <si>
    <t xml:space="preserve">Hoja 16: valor 05 “Extramural (atención pre hospitalaria o transporte asistencial)”; 08 “Telemedicina – Telexperticia”; 09 “Telemedicina – Telemonitoreo”. La referencia escribe “prehospitalaria” y separa con coma. Coinciden conteo, tipo, formato y longitudes. Cargo: PENDIENTE D-02. La referencia además escribe “telexperticia” y “telemonitoreo” en minúscula.</t>
  </si>
  <si>
    <t xml:space="preserve">V-21</t>
  </si>
  <si>
    <t xml:space="preserve">Grupo de servicios</t>
  </si>
  <si>
    <t xml:space="preserve">01 Consulta externa · 02 Apoyo diagnóstico y complementación terapéutica · 03 Internación · 04 Quirúrgico · 05 Atención inmediata</t>
  </si>
  <si>
    <t xml:space="preserve">Hoja 16, elemento 18: 5 valores, alfanumérico, formato 99, longitud 2 y 2. Numeral 2.3: no llega a más de 5 opciones. D-01.</t>
  </si>
  <si>
    <t xml:space="preserve">Lista de exactamente 5 valores. Depende de D-01: si el umbral pasa a 5 o más, cambia a Entidad por 2.3 con 4 historias nuevas. La hoja escribe el valor 05 con mayúscula: “Atención Inmediata”.</t>
  </si>
  <si>
    <t xml:space="preserve">V-22</t>
  </si>
  <si>
    <t xml:space="preserve">D</t>
  </si>
  <si>
    <t xml:space="preserve">Entorno donde se realiza la atención</t>
  </si>
  <si>
    <t xml:space="preserve">01 Hogar · 02 Comunitario · 03 Escolar · 04 Laboral · 05 Institucional</t>
  </si>
  <si>
    <t xml:space="preserve">HU-007, HU-008, HU-009</t>
  </si>
  <si>
    <t xml:space="preserve">Hoja 16, elemento 19: 5 valores, alfanumérico, formato 99, longitud 2 y 2. Numeral 2.3: no llega a más de 5 opciones. D-01. Retroalimentación HU-007, revisión ampliada: concretar entorno.</t>
  </si>
  <si>
    <t xml:space="preserve">Lista de exactamente 5 valores. Depende de D-01: si el umbral pasa a 5 o más, cambia a Entidad por 2.3 con 4 historias nuevas. Obligatoriedad del dato: PENDIENTE D-15. Se guarda como texto de 2 caracteres: PENDIENTE D-18.</t>
  </si>
  <si>
    <t xml:space="preserve">V-23</t>
  </si>
  <si>
    <t xml:space="preserve">Vía de ingreso del usuario al servicio de salud</t>
  </si>
  <si>
    <t xml:space="preserve">16 y 17</t>
  </si>
  <si>
    <t xml:space="preserve">01 Demanda espontánea · 02 Derivado de consulta externa · 03 Derivado de urgencias · 04 Derivado de hospitalización · 05 Derivado de sala de cirugía · 06 Derivado de sala de partos · 07 Recién nacido en la institución · 08 Recién nacido en otra institución · 09 Derivado o referido de hospitalización domiciliaria · 10 Derivado de atención domiciliaria · 11 Derivado de telemedicina · 12 Derivado de jornada de salud · 13 Referido de otra institución · 14 Contrarreferido de otra institución</t>
  </si>
  <si>
    <t xml:space="preserve">Vía de ingreso</t>
  </si>
  <si>
    <t xml:space="preserve">Hojas 16 y 17, elemento 20: 14 valores, alfanumérico, formato 99, longitud 2 y 2. Numeral 2.3: más de 5 opciones. Retroalimentación General ampliada: cobertura de todos los catálogos con más de cinco opciones. HU-007 ampliada: concretar vía.</t>
  </si>
  <si>
    <t xml:space="preserve">Hoja 17, valor 14: “Contra referido de otra institución”; la referencia escribe “Contrarreferido”. Coinciden conteo, tipo, formato y longitudes. Entidad con código de 2 caracteres, guardado como texto para conservar el cero inicial, y nombre. La atención guarda el código de la vía. Por el artículo 7 de la Resolución 866, el catálogo solo refleja los valores de la hoja. Cargo que mantiene el catálogo: PENDIENTE D-02. Obligatoriedad en la atención: PENDIENTE D-15. Representación del código: PENDIENTE D-18.</t>
  </si>
  <si>
    <t xml:space="preserve">V-24</t>
  </si>
  <si>
    <t xml:space="preserve">Causa que motiva la atención</t>
  </si>
  <si>
    <t xml:space="preserve">17</t>
  </si>
  <si>
    <t xml:space="preserve">21 Accidente de trabajo · 22 Accidente en el hogar · 23 Accidente de tránsito de origen común · 24 Accidente de tránsito de origen laboral · 25 Accidente en el entorno educativo · 26 Otro tipo de accidente · 27 Evento catastrófico de origen natural · 28 Lesión por agresión · 29 Lesión autoinfligida · 30 Sospecha de violencia física · 31 Sospecha de violencia psicológica · 32 Sospecha de violencia sexual · 33 Sospecha de negligencia y abandono · 34 IVE relacionado con peligro a la salud o vida de la mujer · 35 IVE por malformación congénita incompatible con la vida · 36 IVE por violencia sexual, incesto o por inseminación artificial o transferencia de óvulo fecundado no consentida · 37 Evento adverso en salud · 38 Enfermedad general · 39 Enfermedad laboral · 40 Promoción y mantenimiento de la salud, intervenciones individuales · 41 Intervención colectiva · 42 Atención de población materno perinatal · 43 Seguridad y salud en el trabajo · 44 Otros eventos catastróficos · 45 Accidente de mina antipersonal (MAP) · 46 Accidente de artefacto explosivo improvisado (AEI) · 47 Accidente de munición sin explotar (MUSE) · 48 Otra víctima de conflicto armado colombiano · 49 Riesgo ambiental</t>
  </si>
  <si>
    <t xml:space="preserve">29</t>
  </si>
  <si>
    <t xml:space="preserve">Hoja 17, elemento 21: 29 valores (códigos 21 a 49), alfanumérico, formato 99, longitud 2 y 2. Numeral 2.3: más de 5 opciones. Retroalimentación General ampliada: cobertura de catálogos con más de cinco opciones. HU-007 ampliada: concretar causa.</t>
  </si>
  <si>
    <t xml:space="preserve">Hoja 17: el valor 29 dice “Lesión auto infligida”; el 40, “Promoción y mantenimiento de la salud-Intervenciones individuales.”; del 45 al 47 la sigla va después de un guion y no entre paréntesis; en el 43, 44, 46 y 47 la referencia quitó mayúsculas. Coinciden conteo, tipo, formato y longitudes. Los nombres del catálogo se toman de la hoja. El 36 dice “ovulo”, sin tilde. Entidad con código de 2 caracteres y nombre. La hoja no cita catálogo externo: sus 29 valores son la fuente oficial y, por el artículo 7 de la Resolución 866, la IPS no agrega otros. Cargo: PENDIENTE D-02. Obligatoriedad en la atención: PENDIENTE D-15. Representación del código: PENDIENTE D-18. Valor 27: la hoja escribe “orígen natural”, con tilde; la referencia, “origen”.</t>
  </si>
  <si>
    <t xml:space="preserve">V-25</t>
  </si>
  <si>
    <t xml:space="preserve">Fecha, hora y clasificación del triage</t>
  </si>
  <si>
    <t xml:space="preserve">17 y 18</t>
  </si>
  <si>
    <t xml:space="preserve">Fecha y hora del triage. Clasificación: 01 Triage I · 02 Triage II · 03 Triage III · 04 Triage IV · 05 Triage V</t>
  </si>
  <si>
    <t xml:space="preserve">Fecha / Alfanumérico</t>
  </si>
  <si>
    <t xml:space="preserve">AAAA-MM-DD HH:MM / 99</t>
  </si>
  <si>
    <t xml:space="preserve">16 / 2</t>
  </si>
  <si>
    <t xml:space="preserve">Hojas 17 y 18, elemento 22: fecha y hora (Fecha, AAAA-MM-DD HH:MM, 16 y 16) y clasificación (5 valores, alfanumérico, 99, 2 y 2). Numeral 2.3: no llega a más de 5 opciones. D-01, D-13. Retroalimentación HU-007, revisión ampliada: “triage cuando corresponda”.</t>
  </si>
  <si>
    <t xml:space="preserve">Dos componentes. Fecha y hora del triage: Fecha, AAAA-MM-DD HH:MM, 16 y 16. Clasificación: 5 valores, formato 99, 2 y 2; depende de D-01. La hoja 18 completa la definición: prioridad de la atención en un servicio de urgencias. Los dos componentes son campos de la atención. Si el umbral pasa a 5 o más, la clasificación cambia a Entidad por 2.3 con 4 historias nuevas. La fecha exige hora (mínima 16), a diferencia de la fecha de nacimiento (mínima 10). Cuándo se exige: PENDIENTE D-13. La fecha se guarda como fecha y hora; la clasificación como texto de 2: PENDIENTE D-18.</t>
  </si>
  <si>
    <t xml:space="preserve">V-26</t>
  </si>
  <si>
    <t xml:space="preserve">Código y nombre del diagnóstico principal de ingreso</t>
  </si>
  <si>
    <t xml:space="preserve">18</t>
  </si>
  <si>
    <t xml:space="preserve">Código del diagnóstico confirmado o presuntivo según catálogo CIE-10 vigente. Nombre correspondiente al código</t>
  </si>
  <si>
    <t xml:space="preserve">Diagnósticos CIE-10</t>
  </si>
  <si>
    <t xml:space="preserve">HU-030, HU-031, HU-032, HU-033 cubren el CRUD (Ajustar). HU-007, HU-008 y HU-009 usan el código (Ajustar).</t>
  </si>
  <si>
    <t xml:space="preserve">Hoja 18, elemento 23: código CIE-10 (alfanumérico, formato 9999, longitud 4 y 4) y nombre correspondiente al código (alfanumérico, 200 y 3). Numeral 2.2: última versión del CIE-10 y jerarquía padre-hijo. Numeral 2.3. HU-007 ampliada: diagnóstico principal/tipo.</t>
  </si>
  <si>
    <t xml:space="preserve">Hoja 18: “catálogo de CIE10 vigente”. Versión: PENDIENTE D-09. Código y nombre en la misma entidad: el nombre es el que corresponde al código, no texto libre. Si un código padre se puede asociar a una atención: D-22 (propuesta: no, por la longitud 4 y 4). Carga desde el archivo oficial: funcionalidad de la historia del catálogo (el docente la da por funcional). La referencia parafrasea los valores permitidos; la hoja escribe “de acuerdo catálogo CIE10 y las normas que la modifiquen”.</t>
  </si>
  <si>
    <t xml:space="preserve">V-27</t>
  </si>
  <si>
    <t xml:space="preserve">Código de enfermedad huérfana</t>
  </si>
  <si>
    <t xml:space="preserve">En caso de presentar una enfermedad huérfana, código del catálogo de enfermedades huérfanas vigente</t>
  </si>
  <si>
    <t xml:space="preserve">9999</t>
  </si>
  <si>
    <t xml:space="preserve">4</t>
  </si>
  <si>
    <t xml:space="preserve">1</t>
  </si>
  <si>
    <t xml:space="preserve">Enfermedades huérfanas</t>
  </si>
  <si>
    <t xml:space="preserve">Hoja 18, elemento 23: código de enfermedad huérfana, alfanumérico, 9999, longitud 4 y 1, “según catálogo de enfermedades huérfanas vigente”. Numeral 2.3: catálogo externo. D-14.</t>
  </si>
  <si>
    <t xml:space="preserve">En la hoja este componente no tiene nombre propio: es la segunda línea de “Código del diagnóstico principal”, y aplica solo “en caso de presentar” una enfermedad huérfana. Longitud mínima 1, máxima 4. Catálogo distinto del CIE-10: la hoja lo nombra aparte y sus longitudes (1 a 4) no son las del CIE-10 (4 y 4). Fuente y versión: PENDIENTE D-14. Dato opcional de la atención: solo si el paciente la presenta. La referencia parafrasea el texto de la hoja sobre enfermedades huérfanas.</t>
  </si>
  <si>
    <t xml:space="preserve">V-28</t>
  </si>
  <si>
    <t xml:space="preserve">Tipo de diagnóstico principal de ingreso</t>
  </si>
  <si>
    <t xml:space="preserve">01 Impresión diagnóstica · 02 Confirmado nuevo · 03 Confirmado repetido</t>
  </si>
  <si>
    <t xml:space="preserve">Hoja 18, elemento 23: tipo de diagnóstico, 3 valores, alfanumérico, formato 99, longitud 2 y 2. Numeral 2.3: no llega a más de 5 opciones.</t>
  </si>
  <si>
    <t xml:space="preserve">Lista de 3 valores. Campo de la atención.</t>
  </si>
  <si>
    <t xml:space="preserve">Entidad o grupo</t>
  </si>
  <si>
    <t xml:space="preserve">Regla</t>
  </si>
  <si>
    <t xml:space="preserve">Filas de validación</t>
  </si>
  <si>
    <t xml:space="preserve">Elementos</t>
  </si>
  <si>
    <t xml:space="preserve">Valores en la hoja</t>
  </si>
  <si>
    <t xml:space="preserve">Historias existentes</t>
  </si>
  <si>
    <t xml:space="preserve">Historias nuevas (una por operación)</t>
  </si>
  <si>
    <t xml:space="preserve">Total si D-17 = una por operación</t>
  </si>
  <si>
    <t xml:space="preserve">Total si D-17 = una por entidad</t>
  </si>
  <si>
    <t xml:space="preserve">Decisiones que la afectan</t>
  </si>
  <si>
    <t xml:space="preserve">Nota</t>
  </si>
  <si>
    <t xml:space="preserve">Inicio de sesión</t>
  </si>
  <si>
    <t xml:space="preserve">Numeral 2.4</t>
  </si>
  <si>
    <t xml:space="preserve">Sin fila</t>
  </si>
  <si>
    <t xml:space="preserve">HU-001 a HU-003</t>
  </si>
  <si>
    <t xml:space="preserve">D-04, D-06</t>
  </si>
  <si>
    <t xml:space="preserve">Si D-04 = una historia, el grupo da 1.</t>
  </si>
  <si>
    <t xml:space="preserve">Numeral 2: registrar, consultar, actualizar</t>
  </si>
  <si>
    <t xml:space="preserve">V-01 a V-17 (campos)</t>
  </si>
  <si>
    <t xml:space="preserve">1 a 15</t>
  </si>
  <si>
    <t xml:space="preserve">HU-004 a HU-006</t>
  </si>
  <si>
    <t xml:space="preserve">D-07, D-19</t>
  </si>
  <si>
    <t xml:space="preserve">Sin eliminar: el numeral 2 no lo pide.</t>
  </si>
  <si>
    <t xml:space="preserve">Numeral 2: crear, consultar, modificar</t>
  </si>
  <si>
    <t xml:space="preserve">V-18 a V-28 (campos)</t>
  </si>
  <si>
    <t xml:space="preserve">16 a 23</t>
  </si>
  <si>
    <t xml:space="preserve">HU-007 a HU-009</t>
  </si>
  <si>
    <t xml:space="preserve">D-08, D-13, D-15, D-27</t>
  </si>
  <si>
    <t xml:space="preserve">Sin eliminar: el numeral 2 no lo pide. El backlog v3 agrega la anulación (HU-043, D-27).</t>
  </si>
  <si>
    <t xml:space="preserve">2.3, catálogo externo ISO 3166-1</t>
  </si>
  <si>
    <t xml:space="preserve">V-01, V-12</t>
  </si>
  <si>
    <t xml:space="preserve">1, 11</t>
  </si>
  <si>
    <t xml:space="preserve">Catálogo</t>
  </si>
  <si>
    <t xml:space="preserve">HU-018 a HU-021</t>
  </si>
  <si>
    <t xml:space="preserve">D-02, D-03, D-17, D-20, D-21</t>
  </si>
  <si>
    <t xml:space="preserve">V-12 reutiliza.</t>
  </si>
  <si>
    <t xml:space="preserve">2.3, lista de 14</t>
  </si>
  <si>
    <t xml:space="preserve">Ninguna</t>
  </si>
  <si>
    <t xml:space="preserve">D-02, D-17, D-20</t>
  </si>
  <si>
    <t xml:space="preserve">2.3, catálogo externo CIUO-88 A.C.</t>
  </si>
  <si>
    <t xml:space="preserve">HU-022 a HU-025</t>
  </si>
  <si>
    <t xml:space="preserve">D-02, D-17, D-20, D-21</t>
  </si>
  <si>
    <t xml:space="preserve">Solo códigos de 4 caracteres se asocian.</t>
  </si>
  <si>
    <t xml:space="preserve">2.1, estructura separada</t>
  </si>
  <si>
    <t xml:space="preserve">HU-010 a HU-013</t>
  </si>
  <si>
    <t xml:space="preserve">D-17, D-20</t>
  </si>
  <si>
    <t xml:space="preserve">HU-014 a HU-017</t>
  </si>
  <si>
    <t xml:space="preserve">D-05, D-17, D-20</t>
  </si>
  <si>
    <t xml:space="preserve">La revocación es actualización.</t>
  </si>
  <si>
    <t xml:space="preserve">2.3, lista de 8</t>
  </si>
  <si>
    <t xml:space="preserve">Varias por paciente.</t>
  </si>
  <si>
    <t xml:space="preserve">2.3, catálogo externo DIVIPOLA</t>
  </si>
  <si>
    <t xml:space="preserve">HU-026 a HU-029</t>
  </si>
  <si>
    <t xml:space="preserve">2.3, lista de 7</t>
  </si>
  <si>
    <t xml:space="preserve">2.3, catálogo externo</t>
  </si>
  <si>
    <t xml:space="preserve">2.3, lista de 9</t>
  </si>
  <si>
    <t xml:space="preserve">2.3, lista de 29</t>
  </si>
  <si>
    <t xml:space="preserve">21</t>
  </si>
  <si>
    <t xml:space="preserve">2.3 y 2.2, catálogo externo con jerarquía</t>
  </si>
  <si>
    <t xml:space="preserve">23</t>
  </si>
  <si>
    <t xml:space="preserve">HU-030 a HU-033</t>
  </si>
  <si>
    <t xml:space="preserve">D-02, D-09, D-17, D-20, D-26</t>
  </si>
  <si>
    <t xml:space="preserve">Backlog v3: HU-030 (catálogo) y HU-031 (búsqueda del médico, otro actor).</t>
  </si>
  <si>
    <t xml:space="preserve">D-02, D-14, D-17, D-20</t>
  </si>
  <si>
    <t xml:space="preserve">Opcional en la atención.</t>
  </si>
  <si>
    <t xml:space="preserve">Prestadores (solo si D-05 lo hace catálogo)</t>
  </si>
  <si>
    <t xml:space="preserve">2.3, catálogo externo REPS</t>
  </si>
  <si>
    <t xml:space="preserve">V-18 (y componente 3 de V-10)</t>
  </si>
  <si>
    <t xml:space="preserve">16, 9</t>
  </si>
  <si>
    <t xml:space="preserve">D-05, D-17, D-20, D-21</t>
  </si>
  <si>
    <t xml:space="preserve">No entra en los totales de abajo.</t>
  </si>
  <si>
    <t xml:space="preserve">Historias nuevas</t>
  </si>
  <si>
    <t xml:space="preserve">Total del backlog</t>
  </si>
  <si>
    <t xml:space="preserve">Total del backlog con prestador</t>
  </si>
  <si>
    <t xml:space="preserve">Mínimo del numeral 2.5</t>
  </si>
  <si>
    <t xml:space="preserve">Cómo leerla: “una por operación” son 4 historias por entidad (crear, consultar, actualizar, eliminar o inactivar); “una por entidad” junta el CRUD en una. Paciente, atención e inicio de sesión quedan en 3 en las dos columnas. Con todo comprimido el backlog queda por debajo de 30 (numeral 2.5): D-17 solo puede comprimir una parte. Cada entidad que vuelve a 4 historias suma 3: desde 24 hacen falta al menos 2 entidades con sus 4 historias para llegar a 30.</t>
  </si>
  <si>
    <t xml:space="preserve">Nombre del elemento</t>
  </si>
  <si>
    <t xml:space="preserve">Grupo del anexo</t>
  </si>
  <si>
    <t xml:space="preserve">Tipo</t>
  </si>
  <si>
    <t xml:space="preserve">Fila de Validación</t>
  </si>
  <si>
    <t xml:space="preserve">Estado de la clasificación</t>
  </si>
  <si>
    <t xml:space="preserve">Entidad o dónde vive el dato</t>
  </si>
  <si>
    <t xml:space="preserve">Historias de este backlog</t>
  </si>
  <si>
    <t xml:space="preserve">Historias de los compañeros (Trabajo equipo)</t>
  </si>
  <si>
    <t xml:space="preserve">Qué falta en este backlog</t>
  </si>
  <si>
    <t xml:space="preserve">Observación</t>
  </si>
  <si>
    <t xml:space="preserve">País de la nacionalidad</t>
  </si>
  <si>
    <t xml:space="preserve">Identificación del usuario (1 a 15)</t>
  </si>
  <si>
    <t xml:space="preserve">Analizada en Validación</t>
  </si>
  <si>
    <t xml:space="preserve">HU08 (CRUD de países); HU04</t>
  </si>
  <si>
    <t xml:space="preserve">Ajustar las historias existentes (Ajustes por historia).</t>
  </si>
  <si>
    <t xml:space="preserve">Documento de identificación</t>
  </si>
  <si>
    <t xml:space="preserve">HU07 (CRUD de tipos de documento)</t>
  </si>
  <si>
    <t xml:space="preserve">CRUD de Tipos de documento de identificación: 4 historias nuevas (D-17).</t>
  </si>
  <si>
    <t xml:space="preserve">HU07 escenario 7 dice 13 tipos; la hoja 13 trae 14.</t>
  </si>
  <si>
    <t xml:space="preserve">HU04, HU05, HU23</t>
  </si>
  <si>
    <t xml:space="preserve">Escenarios en las historias de su entidad (Ajustes por historia).</t>
  </si>
  <si>
    <t xml:space="preserve">Nombres y apellidos</t>
  </si>
  <si>
    <t xml:space="preserve">Ocupación al momento de la atención</t>
  </si>
  <si>
    <t xml:space="preserve">HU09 (CRUD de ocupaciones)</t>
  </si>
  <si>
    <t xml:space="preserve">Sin historias de oposición, que el numeral 2.1 pide como estructura separada.</t>
  </si>
  <si>
    <t xml:space="preserve">Sin historias de voluntad anticipada, que el numeral 2.1 pide como estructura separada.</t>
  </si>
  <si>
    <t xml:space="preserve">HU04 (como dato)</t>
  </si>
  <si>
    <t xml:space="preserve">CRUD de Categorías de discapacidad: 4 historias nuevas (D-17).</t>
  </si>
  <si>
    <t xml:space="preserve">Sin CRUD de discapacidad (8 valores).</t>
  </si>
  <si>
    <t xml:space="preserve">País de residencia habitual</t>
  </si>
  <si>
    <t xml:space="preserve">HU08; HU04</t>
  </si>
  <si>
    <t xml:space="preserve">Nada nuevo: usa Países.</t>
  </si>
  <si>
    <t xml:space="preserve">Municipio de residencia habitual</t>
  </si>
  <si>
    <t xml:space="preserve">Sin CRUD de municipios; el docente dice que gestionar ese catálogo sí es funcionalidad.</t>
  </si>
  <si>
    <t xml:space="preserve">Pertenencia étnica</t>
  </si>
  <si>
    <t xml:space="preserve">CRUD de Etnias: 4 historias nuevas (D-17).</t>
  </si>
  <si>
    <t xml:space="preserve">Sin CRUD de etnias (7 valores).</t>
  </si>
  <si>
    <t xml:space="preserve">CRUD de Comunidades étnicas: 4 historias nuevas (D-17).</t>
  </si>
  <si>
    <t xml:space="preserve">Sin CRUD de comunidades étnicas.</t>
  </si>
  <si>
    <t xml:space="preserve">HU04</t>
  </si>
  <si>
    <t xml:space="preserve">Entidad que responde por el plan de beneficios en salud</t>
  </si>
  <si>
    <t xml:space="preserve">HU10 (asignación) y HU11 (CRUD)</t>
  </si>
  <si>
    <t xml:space="preserve">CRUD de Entidades administradoras de planes de beneficios: 4 historias nuevas (D-17).</t>
  </si>
  <si>
    <t xml:space="preserve">Contacto con el servicio de salud (16 a 23)</t>
  </si>
  <si>
    <t xml:space="preserve">HU14, HU16</t>
  </si>
  <si>
    <t xml:space="preserve">Depende de D-05.</t>
  </si>
  <si>
    <t xml:space="preserve">Modalidad y grupo de servicios</t>
  </si>
  <si>
    <t xml:space="preserve">HU19; catálogo en HU13</t>
  </si>
  <si>
    <t xml:space="preserve">CRUD de Modalidades de realización: 4 historias nuevas (D-17).</t>
  </si>
  <si>
    <t xml:space="preserve">HU19 escenario 8 habla de tres tipos de telemedicina; la hoja 16 trae cuatro.</t>
  </si>
  <si>
    <t xml:space="preserve">Catálogo en HU13</t>
  </si>
  <si>
    <t xml:space="preserve">CRUD de Vía de ingreso: 4 historias nuevas (D-17).</t>
  </si>
  <si>
    <t xml:space="preserve">HU18</t>
  </si>
  <si>
    <t xml:space="preserve">CRUD de Causa que motiva la atención: 4 historias nuevas (D-17).</t>
  </si>
  <si>
    <t xml:space="preserve">HU18 dice 49 causas; la hoja 17 trae 29 (códigos 21 a 49).</t>
  </si>
  <si>
    <t xml:space="preserve">Triage</t>
  </si>
  <si>
    <t xml:space="preserve">HU15</t>
  </si>
  <si>
    <t xml:space="preserve">HU15 escenario 7 dice que fecha y hora son obligatorias “según la normativa vigente”; el anexo no tiene columna de obligatoriedad.</t>
  </si>
  <si>
    <t xml:space="preserve">Diagnóstico principal de ingreso</t>
  </si>
  <si>
    <t xml:space="preserve">HU12 (CRUD de diagnósticos); HU14, HU16</t>
  </si>
  <si>
    <t xml:space="preserve">HU17 escenario 9 y HU28 escenario 5 (como dato opcional)</t>
  </si>
  <si>
    <t xml:space="preserve">CRUD de Enfermedades huérfanas: 4 historias nuevas (D-17).</t>
  </si>
  <si>
    <t xml:space="preserve">Sin CRUD de enfermedades huérfanas.</t>
  </si>
  <si>
    <t xml:space="preserve">HU28 escenario 2 (en el egreso)</t>
  </si>
  <si>
    <t xml:space="preserve">Tecnología en salud</t>
  </si>
  <si>
    <t xml:space="preserve">Tecnologías en salud (24 a 36)</t>
  </si>
  <si>
    <t xml:space="preserve">Tipo de tecnología en salud</t>
  </si>
  <si>
    <t xml:space="preserve">13 valores</t>
  </si>
  <si>
    <t xml:space="preserve">No está en Validación</t>
  </si>
  <si>
    <t xml:space="preserve">Preliminar (sujeta a D-16)</t>
  </si>
  <si>
    <t xml:space="preserve">Tipos de tecnología en salud</t>
  </si>
  <si>
    <t xml:space="preserve">HU21 (cita 13)</t>
  </si>
  <si>
    <t xml:space="preserve">Si D-16 incluye el numeral: CRUD de Tipos de tecnología en salud.</t>
  </si>
  <si>
    <t xml:space="preserve">Código de la tecnología en salud</t>
  </si>
  <si>
    <t xml:space="preserve">18 y 19</t>
  </si>
  <si>
    <t xml:space="preserve">Remite a catálogo: 13 filas, una por tipo (CUPS, IUM y catálogos del Ministerio)</t>
  </si>
  <si>
    <t xml:space="preserve">Entidad por 2.3 (un catálogo por tipo)</t>
  </si>
  <si>
    <t xml:space="preserve">CUPS, IUM y 9 catálogos del Ministerio</t>
  </si>
  <si>
    <t xml:space="preserve">HU21, escenarios 2 y 3 (solo CUPS e IUM)</t>
  </si>
  <si>
    <t xml:space="preserve">Si D-16 incluye el numeral: CRUD de CUPS, IUM y 9 catálogos del Ministerio.</t>
  </si>
  <si>
    <t xml:space="preserve">Longitud según el tipo: 6 (CUPS), 15 (IUM), 13 a 25 (dispositivo), 19 (sangre, fluidos, órganos, tejidos, células).</t>
  </si>
  <si>
    <t xml:space="preserve">Nombre de la tecnología en salud</t>
  </si>
  <si>
    <t xml:space="preserve">19</t>
  </si>
  <si>
    <t xml:space="preserve">Dato abierto</t>
  </si>
  <si>
    <t xml:space="preserve">Campo de la tecnología</t>
  </si>
  <si>
    <t xml:space="preserve">Tecnología en salud de la atención (varias por atención)</t>
  </si>
  <si>
    <t xml:space="preserve">HU21, escenario 2</t>
  </si>
  <si>
    <t xml:space="preserve">Si D-16 incluye el numeral: dato de Tecnología en salud de la atención (varias por atención).</t>
  </si>
  <si>
    <t xml:space="preserve">Nombre según la codificación o el nombre comercial; 200 y 5.</t>
  </si>
  <si>
    <t xml:space="preserve">Finalidad de la tecnología de salud</t>
  </si>
  <si>
    <t xml:space="preserve">(sin componente)</t>
  </si>
  <si>
    <t xml:space="preserve">19 y 20</t>
  </si>
  <si>
    <t xml:space="preserve">34 valores (códigos 11 a 44)</t>
  </si>
  <si>
    <t xml:space="preserve">Finalidades de la tecnología</t>
  </si>
  <si>
    <t xml:space="preserve">HU21, escenario 5 (cita 44)</t>
  </si>
  <si>
    <t xml:space="preserve">Si D-16 incluye el numeral: CRUD de Finalidades de la tecnología.</t>
  </si>
  <si>
    <t xml:space="preserve">Los compañeros cuentan 44: es el último código, no la cantidad.</t>
  </si>
  <si>
    <t xml:space="preserve">Descripción común del medicamento</t>
  </si>
  <si>
    <t xml:space="preserve">Remite a catálogo DCI</t>
  </si>
  <si>
    <t xml:space="preserve">Numérico</t>
  </si>
  <si>
    <t xml:space="preserve">Denominación Común Internacional (DCI)</t>
  </si>
  <si>
    <t xml:space="preserve">Si D-16 incluye el numeral: CRUD de Denominación Común Internacional (DCI).</t>
  </si>
  <si>
    <t xml:space="preserve">Fecha de prescripción de la tecnología en salud</t>
  </si>
  <si>
    <t xml:space="preserve">AAAA-MM-DD HH:MM, 16 y 16.</t>
  </si>
  <si>
    <t xml:space="preserve">Dosis prescrita del medicamento</t>
  </si>
  <si>
    <t xml:space="preserve">Cantidad prescrita de una dosis</t>
  </si>
  <si>
    <t xml:space="preserve">Código de la unidad de medida de la dosis</t>
  </si>
  <si>
    <t xml:space="preserve">Remite a catálogo UMM</t>
  </si>
  <si>
    <t xml:space="preserve">Unidades de medida (UMM)</t>
  </si>
  <si>
    <t xml:space="preserve">Si D-16 incluye el numeral: CRUD de Unidades de medida (UMM).</t>
  </si>
  <si>
    <t xml:space="preserve">Vía de administración de la tecnologia</t>
  </si>
  <si>
    <t xml:space="preserve">Remite a catálogo VAD</t>
  </si>
  <si>
    <t xml:space="preserve">Vías de administración (VAD)</t>
  </si>
  <si>
    <t xml:space="preserve">Si D-16 incluye el numeral: CRUD de Vías de administración (VAD).</t>
  </si>
  <si>
    <t xml:space="preserve">Duración prescrita del tratamiento</t>
  </si>
  <si>
    <t xml:space="preserve">20 y 21</t>
  </si>
  <si>
    <t xml:space="preserve">Código de unidad de tiempo</t>
  </si>
  <si>
    <t xml:space="preserve">7 valores</t>
  </si>
  <si>
    <t xml:space="preserve">Unidades de tiempo</t>
  </si>
  <si>
    <t xml:space="preserve">Si D-16 incluye el numeral: CRUD de Unidades de tiempo.</t>
  </si>
  <si>
    <t xml:space="preserve">Frecuencia de administración de la tecnologia prescrita</t>
  </si>
  <si>
    <t xml:space="preserve">Si D-16 incluye el numeral: usa Unidades de tiempo.</t>
  </si>
  <si>
    <t xml:space="preserve">Mismo catálogo que el 30.</t>
  </si>
  <si>
    <t xml:space="preserve">Dosis administrada del medicamento institucionalmente</t>
  </si>
  <si>
    <t xml:space="preserve">Cantidad administrada de una dosis</t>
  </si>
  <si>
    <t xml:space="preserve">Si D-16 incluye el numeral: usa Unidades de medida (UMM).</t>
  </si>
  <si>
    <t xml:space="preserve">Fecha de entrega de la tecnología en salud</t>
  </si>
  <si>
    <t xml:space="preserve">Dosis entregadas del medicamento</t>
  </si>
  <si>
    <t xml:space="preserve">Cantidad entregada de una dosis</t>
  </si>
  <si>
    <t xml:space="preserve">Número de unidades entregadas o aplicadas de la tecnología</t>
  </si>
  <si>
    <t xml:space="preserve">Cuatro enteros y dos decimales con coma.</t>
  </si>
  <si>
    <t xml:space="preserve">Código de unidad de medida</t>
  </si>
  <si>
    <t xml:space="preserve">Remite a catálogo FMM (formas farmacéuticas)</t>
  </si>
  <si>
    <t xml:space="preserve">Formas farmacéuticas (FMM)</t>
  </si>
  <si>
    <t xml:space="preserve">Si D-16 incluye el numeral: CRUD de Formas farmacéuticas (FMM).</t>
  </si>
  <si>
    <t xml:space="preserve">Remite a FMM, no a UMM.</t>
  </si>
  <si>
    <t xml:space="preserve">Identificación del talento humano en salud que realiza, entrega o aplica la tecnología de salud</t>
  </si>
  <si>
    <t xml:space="preserve">Tipo de identificación de la persona</t>
  </si>
  <si>
    <t xml:space="preserve">5 valores (CC, CE, PA, PE, TI)</t>
  </si>
  <si>
    <t xml:space="preserve">Tipos de documento de identificación (5 de los 14)</t>
  </si>
  <si>
    <t xml:space="preserve">Si D-16 incluye el numeral: usa Tipos de documento de identificación (5 de los 14).</t>
  </si>
  <si>
    <t xml:space="preserve">Son 5 de los 14 tipos del numeral 2.</t>
  </si>
  <si>
    <t xml:space="preserve">Número de identificación de la persona</t>
  </si>
  <si>
    <t xml:space="preserve">22</t>
  </si>
  <si>
    <t xml:space="preserve">Inscrito en ReTHUS, según la definición.</t>
  </si>
  <si>
    <t xml:space="preserve">Diagnóstico principal de egreso</t>
  </si>
  <si>
    <t xml:space="preserve">Resultados del uso de las tecnologías en salud (37 a 49)</t>
  </si>
  <si>
    <t xml:space="preserve">Código del diagnóstico principal (CIE-10 o enfermedad huérfana)</t>
  </si>
  <si>
    <t xml:space="preserve">Remite a catálogo CIE-10 y de enfermedades huérfanas</t>
  </si>
  <si>
    <t xml:space="preserve">Diagnósticos CIE-10 y Enfermedades huérfanas</t>
  </si>
  <si>
    <t xml:space="preserve">Ninguna registra el dato; el catálogo es el de HU-030 a HU-033</t>
  </si>
  <si>
    <t xml:space="preserve">HU28</t>
  </si>
  <si>
    <t xml:space="preserve">Si D-16 incluye el numeral: usa Diagnósticos CIE-10 y Enfermedades huérfanas.</t>
  </si>
  <si>
    <t xml:space="preserve">Nombre del diagnóstico principal</t>
  </si>
  <si>
    <t xml:space="preserve">Nombre correspondiente al código</t>
  </si>
  <si>
    <t xml:space="preserve">Si D-16 incluye el numeral: usa Diagnósticos CIE-10.</t>
  </si>
  <si>
    <t xml:space="preserve">3 valores</t>
  </si>
  <si>
    <t xml:space="preserve">Atención (egreso)</t>
  </si>
  <si>
    <t xml:space="preserve">HU28, escenario 2</t>
  </si>
  <si>
    <t xml:space="preserve">Si D-16 incluye el numeral: dato de Atención (egreso).</t>
  </si>
  <si>
    <t xml:space="preserve">La hoja lo llama de ingreso dentro del elemento de egreso.</t>
  </si>
  <si>
    <t xml:space="preserve">Diagnóstico relacionado</t>
  </si>
  <si>
    <t xml:space="preserve">Código del diagnóstico relacionado (CIE-10 o enfermedad huérfana)</t>
  </si>
  <si>
    <t xml:space="preserve">HU17</t>
  </si>
  <si>
    <t xml:space="preserve">La hoja no fija cuántos.</t>
  </si>
  <si>
    <t xml:space="preserve">Nombre del diagnóstico relacionado</t>
  </si>
  <si>
    <t xml:space="preserve">Resultado de evaluación de valoración clínica o del resultado en salud</t>
  </si>
  <si>
    <t xml:space="preserve">Fecha del resultado</t>
  </si>
  <si>
    <t xml:space="preserve">Identificación del instrumento para medir el resultado observado</t>
  </si>
  <si>
    <t xml:space="preserve">22 y 23</t>
  </si>
  <si>
    <t xml:space="preserve">Remite a catálogo</t>
  </si>
  <si>
    <t xml:space="preserve">Instrumentos de evaluación del resultado</t>
  </si>
  <si>
    <t xml:space="preserve">Si D-16 incluye el numeral: CRUD de Instrumentos de evaluación del resultado.</t>
  </si>
  <si>
    <t xml:space="preserve">Código del parámetro del resultado observado</t>
  </si>
  <si>
    <t xml:space="preserve">Parámetros del resultado</t>
  </si>
  <si>
    <t xml:space="preserve">Si D-16 incluye el numeral: CRUD de Parámetros del resultado.</t>
  </si>
  <si>
    <t xml:space="preserve">Valor del resultado observado</t>
  </si>
  <si>
    <t xml:space="preserve">Decimal</t>
  </si>
  <si>
    <t xml:space="preserve">La hoja dice “tres (2) decimales”.</t>
  </si>
  <si>
    <t xml:space="preserve">Diagnósticos de la complicación</t>
  </si>
  <si>
    <t xml:space="preserve">Código de la complicación (CIE-10 o enfermedad huérfana)</t>
  </si>
  <si>
    <t xml:space="preserve">Nombre del diagnóstico de la complicación</t>
  </si>
  <si>
    <t xml:space="preserve">Condición y destino del usuario al egreso</t>
  </si>
  <si>
    <t xml:space="preserve">Condiciones y destinos al egreso</t>
  </si>
  <si>
    <t xml:space="preserve">HU22; catálogo en HU13</t>
  </si>
  <si>
    <t xml:space="preserve">Si D-16 incluye el numeral: CRUD de Condiciones y destinos al egreso.</t>
  </si>
  <si>
    <t xml:space="preserve">Aplica a la salida de urgencias u hospitalización.</t>
  </si>
  <si>
    <t xml:space="preserve">Diagnóstico de la causa básica de muerte</t>
  </si>
  <si>
    <t xml:space="preserve">Código de la causa básica de muerte (CIE-10 o enfermedad huérfana)</t>
  </si>
  <si>
    <t xml:space="preserve">HU22, escenario 2</t>
  </si>
  <si>
    <t xml:space="preserve">Nombre del diagnóstico de la causa básica de la muerte</t>
  </si>
  <si>
    <t xml:space="preserve">HU22, escenario 10</t>
  </si>
  <si>
    <t xml:space="preserve">Fecha y hora de la finalización de la atención</t>
  </si>
  <si>
    <t xml:space="preserve">24</t>
  </si>
  <si>
    <t xml:space="preserve">HU22, escenario 4</t>
  </si>
  <si>
    <t xml:space="preserve">En caso de muerte, fecha y hora del deceso.</t>
  </si>
  <si>
    <t xml:space="preserve">Código del prestador de servicios de salud a donde se refiere</t>
  </si>
  <si>
    <t xml:space="preserve">Remite al REPS o al código del Ministerio</t>
  </si>
  <si>
    <t xml:space="preserve">Prestadores si D-05 lo hace catálogo</t>
  </si>
  <si>
    <t xml:space="preserve">HU22, escenario 3</t>
  </si>
  <si>
    <t xml:space="preserve">Si D-16 incluye el numeral: depende de D-05.</t>
  </si>
  <si>
    <t xml:space="preserve">Si no se refiere, no se registra.</t>
  </si>
  <si>
    <t xml:space="preserve">Incapacidad</t>
  </si>
  <si>
    <t xml:space="preserve">Alcance de la incapacidad</t>
  </si>
  <si>
    <t xml:space="preserve">2 valores</t>
  </si>
  <si>
    <t xml:space="preserve">Días de incapacidad</t>
  </si>
  <si>
    <t xml:space="preserve">Dato abierto (entre 1 y 999)</t>
  </si>
  <si>
    <t xml:space="preserve">Días de licencia de maternidad</t>
  </si>
  <si>
    <t xml:space="preserve">Antecedentes de salud</t>
  </si>
  <si>
    <t xml:space="preserve">Código que indica si la persona tiene alergias</t>
  </si>
  <si>
    <t xml:space="preserve">6 valores</t>
  </si>
  <si>
    <t xml:space="preserve">Tipos de alérgeno</t>
  </si>
  <si>
    <t xml:space="preserve">HU20 (cita 6)</t>
  </si>
  <si>
    <t xml:space="preserve">Si D-16 incluye el numeral: CRUD de Tipos de alérgeno.</t>
  </si>
  <si>
    <t xml:space="preserve">Varias por persona (“en múltiples opciones”).</t>
  </si>
  <si>
    <t xml:space="preserve">Nombre del alérgeno</t>
  </si>
  <si>
    <t xml:space="preserve">Campo del antecedente</t>
  </si>
  <si>
    <t xml:space="preserve">Antecedentes de alergia (varios)</t>
  </si>
  <si>
    <t xml:space="preserve">HU20, escenario 2</t>
  </si>
  <si>
    <t xml:space="preserve">Si D-16 incluye el numeral: dato de Antecedentes de alergia (varios).</t>
  </si>
  <si>
    <t xml:space="preserve">Condición de salud familiar</t>
  </si>
  <si>
    <t xml:space="preserve">HU20, escenario 9</t>
  </si>
  <si>
    <t xml:space="preserve">Varios por persona.</t>
  </si>
  <si>
    <t xml:space="preserve">Parentesco</t>
  </si>
  <si>
    <t xml:space="preserve">4 valores</t>
  </si>
  <si>
    <t xml:space="preserve">Antecedentes familiares (varios)</t>
  </si>
  <si>
    <t xml:space="preserve">HU20, escenario 4</t>
  </si>
  <si>
    <t xml:space="preserve">Si D-16 incluye el numeral: dato de Antecedentes familiares (varios).</t>
  </si>
  <si>
    <t xml:space="preserve">Exposición a factores de riesgo</t>
  </si>
  <si>
    <t xml:space="preserve">Tipo de factor de riesgo</t>
  </si>
  <si>
    <t xml:space="preserve">Tipos de factor de riesgo</t>
  </si>
  <si>
    <t xml:space="preserve">HU29 (cita 6)</t>
  </si>
  <si>
    <t xml:space="preserve">Si D-16 incluye el numeral: CRUD de Tipos de factor de riesgo.</t>
  </si>
  <si>
    <t xml:space="preserve">Tipo Numérico con códigos 01 a 06.</t>
  </si>
  <si>
    <t xml:space="preserve">Nombre del factor de riesgo</t>
  </si>
  <si>
    <t xml:space="preserve">Factores de riesgo (varios)</t>
  </si>
  <si>
    <t xml:space="preserve">HU29, escenario 2</t>
  </si>
  <si>
    <t xml:space="preserve">Si D-16 incluye el numeral: dato de Factores de riesgo (varios).</t>
  </si>
  <si>
    <t xml:space="preserve">Identificación del talento humano en salud que realizó el egreso</t>
  </si>
  <si>
    <t xml:space="preserve">25</t>
  </si>
  <si>
    <t xml:space="preserve">Inscrito en ReTHUS.</t>
  </si>
  <si>
    <t xml:space="preserve">Elementos del anexo</t>
  </si>
  <si>
    <t xml:space="preserve">Componentes (filas)</t>
  </si>
  <si>
    <t xml:space="preserve">Componentes analizados en Validación (elementos 1 a 23)</t>
  </si>
  <si>
    <t xml:space="preserve">Componentes con clasificación preliminar (elementos 24 a 49)</t>
  </si>
  <si>
    <t xml:space="preserve">Filas de entidad nueva entre los elementos 24 a 49</t>
  </si>
  <si>
    <t xml:space="preserve">Componentes del 24 al 49 sin ninguna historia de los compañeros</t>
  </si>
  <si>
    <t xml:space="preserve">Cómo leerla: los elementos 1 a 23 repiten la clasificación de la hoja Validación. Los 24 a 49 tienen clasificación preliminar con las mismas reglas: quedan fuera de la primera fase hasta que el docente responda D-16. Del 24 al 49 salen 6 listas de más de 5 valores (tipo de tecnología 13, finalidad 34, unidad de tiempo 7, condición de egreso 7, tipo de alérgeno 6, tipo de factor de riesgo 6) y entre 9 y 17 catálogos externos (CUPS, IUM, DCI, UMM, VAD, FMM, instrumentos y parámetros del resultado, y 9 catálogos “que establezca el Ministerio” para el código de la tecnología, contados como uno o por separado). Con una historia por operación serían entre 60 y 92 historias más; con una por entidad, entre 15 y 23, más las de registrar, consultar y modificar la tecnología en salud de la atención.</t>
  </si>
  <si>
    <t xml:space="preserve">ID</t>
  </si>
  <si>
    <t xml:space="preserve">Título</t>
  </si>
  <si>
    <t xml:space="preserve">Numerales del anexo o de la guía</t>
  </si>
  <si>
    <t xml:space="preserve">Viene de</t>
  </si>
  <si>
    <t xml:space="preserve">Acción</t>
  </si>
  <si>
    <t xml:space="preserve">Tanda</t>
  </si>
  <si>
    <t xml:space="preserve">Archivo</t>
  </si>
  <si>
    <t xml:space="preserve">Ajustes del tablero que recibe</t>
  </si>
  <si>
    <t xml:space="preserve">Comentarios del docente que recibe</t>
  </si>
  <si>
    <t xml:space="preserve">HU-001</t>
  </si>
  <si>
    <t xml:space="preserve">Inicio de sesión con permisos por cargo</t>
  </si>
  <si>
    <t xml:space="preserve">Guía 2.4</t>
  </si>
  <si>
    <t xml:space="preserve">HU-001, HU-002, HU-003</t>
  </si>
  <si>
    <t xml:space="preserve">Fusionar</t>
  </si>
  <si>
    <t xml:space="preserve">T1</t>
  </si>
  <si>
    <t xml:space="preserve">Borrador</t>
  </si>
  <si>
    <t xml:space="preserve">backlog-v3/backlog-v3-tanda-1-acceso-y-paciente.md</t>
  </si>
  <si>
    <t xml:space="preserve">HU-004</t>
  </si>
  <si>
    <t xml:space="preserve">Registro de un paciente</t>
  </si>
  <si>
    <t xml:space="preserve">Gestión de pacientes</t>
  </si>
  <si>
    <t xml:space="preserve">Editar</t>
  </si>
  <si>
    <t xml:space="preserve">HU-005</t>
  </si>
  <si>
    <t xml:space="preserve">Consulta de un paciente</t>
  </si>
  <si>
    <t xml:space="preserve">HU-006</t>
  </si>
  <si>
    <t xml:space="preserve">Actualización y corrección de los datos de un paciente</t>
  </si>
  <si>
    <t xml:space="preserve">HU-007</t>
  </si>
  <si>
    <t xml:space="preserve">Registro de información clínica</t>
  </si>
  <si>
    <t xml:space="preserve">Contacto con el servicio de salud</t>
  </si>
  <si>
    <t xml:space="preserve">T2</t>
  </si>
  <si>
    <t xml:space="preserve">backlog-v3/backlog-v3-tanda-2-atencion.md</t>
  </si>
  <si>
    <t xml:space="preserve">HU-008</t>
  </si>
  <si>
    <t xml:space="preserve">Consulta de la información clínica de un paciente</t>
  </si>
  <si>
    <t xml:space="preserve">HU-009</t>
  </si>
  <si>
    <t xml:space="preserve">Modificación de la información clínica registrada</t>
  </si>
  <si>
    <t xml:space="preserve">HU-043</t>
  </si>
  <si>
    <t xml:space="preserve">Anulación de una atención registrada por error</t>
  </si>
  <si>
    <t xml:space="preserve">Nueva</t>
  </si>
  <si>
    <t xml:space="preserve">Escribir</t>
  </si>
  <si>
    <t xml:space="preserve">HU-010</t>
  </si>
  <si>
    <t xml:space="preserve">Registro de la oposición a la presunción legal de donación</t>
  </si>
  <si>
    <t xml:space="preserve">Oposición a la donación</t>
  </si>
  <si>
    <t xml:space="preserve">T3</t>
  </si>
  <si>
    <t xml:space="preserve">backlog-v3/backlog-v3-tanda-3-oposicion-y-voluntad.md</t>
  </si>
  <si>
    <t xml:space="preserve">HU-011</t>
  </si>
  <si>
    <t xml:space="preserve">Consulta de la oposición a la presunción legal de donación</t>
  </si>
  <si>
    <t xml:space="preserve">HU-012</t>
  </si>
  <si>
    <t xml:space="preserve">Actualización de la oposición a la presunción legal de donación</t>
  </si>
  <si>
    <t xml:space="preserve">HU-013</t>
  </si>
  <si>
    <t xml:space="preserve">Anulación de un registro de oposición hecho por error</t>
  </si>
  <si>
    <t xml:space="preserve">HU-014</t>
  </si>
  <si>
    <t xml:space="preserve">Registro del documento de voluntad anticipada</t>
  </si>
  <si>
    <t xml:space="preserve">Voluntad anticipada</t>
  </si>
  <si>
    <t xml:space="preserve">HU-015</t>
  </si>
  <si>
    <t xml:space="preserve">Consulta del documento de voluntad anticipada</t>
  </si>
  <si>
    <t xml:space="preserve">HU-016</t>
  </si>
  <si>
    <t xml:space="preserve">Actualización del documento de voluntad anticipada: modificación, sustitución y revocación</t>
  </si>
  <si>
    <t xml:space="preserve">HU-017</t>
  </si>
  <si>
    <t xml:space="preserve">Anulación de un registro de voluntad anticipada hecho por error</t>
  </si>
  <si>
    <t xml:space="preserve">HU-018</t>
  </si>
  <si>
    <t xml:space="preserve">Catálogo de países: carga y mantenimiento</t>
  </si>
  <si>
    <t xml:space="preserve">Catálogos</t>
  </si>
  <si>
    <t xml:space="preserve">1 y 11</t>
  </si>
  <si>
    <t xml:space="preserve">HU-018, HU-019, HU-020, HU-021</t>
  </si>
  <si>
    <t xml:space="preserve">T4</t>
  </si>
  <si>
    <t xml:space="preserve">backlog-v3/backlog-v3-tanda-4-catalogos-paciente.md</t>
  </si>
  <si>
    <t xml:space="preserve">HU-022</t>
  </si>
  <si>
    <t xml:space="preserve">Catálogo de ocupaciones: carga y mantenimiento</t>
  </si>
  <si>
    <t xml:space="preserve">HU-022, HU-023, HU-024, HU-025</t>
  </si>
  <si>
    <t xml:space="preserve">HU-026</t>
  </si>
  <si>
    <t xml:space="preserve">Catálogo de municipios: carga y mantenimiento</t>
  </si>
  <si>
    <t xml:space="preserve">HU-026, HU-027, HU-028, HU-029</t>
  </si>
  <si>
    <t xml:space="preserve">HU-034</t>
  </si>
  <si>
    <t xml:space="preserve">Catálogo de tipos de documento: carga y mantenimiento</t>
  </si>
  <si>
    <t xml:space="preserve">HU-035</t>
  </si>
  <si>
    <t xml:space="preserve">Catálogo de categorías de discapacidad: carga y mantenimiento</t>
  </si>
  <si>
    <t xml:space="preserve">HU-036</t>
  </si>
  <si>
    <t xml:space="preserve">Catálogo de etnias: carga y mantenimiento</t>
  </si>
  <si>
    <t xml:space="preserve">HU-037</t>
  </si>
  <si>
    <t xml:space="preserve">Catálogo de comunidades étnicas: carga y mantenimiento</t>
  </si>
  <si>
    <t xml:space="preserve">HU-038</t>
  </si>
  <si>
    <t xml:space="preserve">Catálogo de entidades que responden por el plan de beneficios: carga y mantenimiento</t>
  </si>
  <si>
    <t xml:space="preserve">HU-030</t>
  </si>
  <si>
    <t xml:space="preserve">Catálogo de diagnósticos CIE-10: carga y mantenimiento</t>
  </si>
  <si>
    <t xml:space="preserve">HU-030, HU-032, HU-033</t>
  </si>
  <si>
    <t xml:space="preserve">T5</t>
  </si>
  <si>
    <t xml:space="preserve">backlog-v3/backlog-v3-tanda-5-diagnosticos-y-catalogos-atencion.md</t>
  </si>
  <si>
    <t xml:space="preserve">HU-031</t>
  </si>
  <si>
    <t xml:space="preserve">Búsqueda y selección de un diagnóstico</t>
  </si>
  <si>
    <t xml:space="preserve">HU-039</t>
  </si>
  <si>
    <t xml:space="preserve">Catálogo de modalidades de realización: carga y mantenimiento</t>
  </si>
  <si>
    <t xml:space="preserve">HU-040</t>
  </si>
  <si>
    <t xml:space="preserve">Catálogo de vías de ingreso: carga y mantenimiento</t>
  </si>
  <si>
    <t xml:space="preserve">HU-041</t>
  </si>
  <si>
    <t xml:space="preserve">Catálogo de causas que motivan la atención: carga y mantenimiento</t>
  </si>
  <si>
    <t xml:space="preserve">HU-042</t>
  </si>
  <si>
    <t xml:space="preserve">Catálogo de enfermedades huérfanas: carga y mantenimiento</t>
  </si>
  <si>
    <t xml:space="preserve">Historias del backlog v3</t>
  </si>
  <si>
    <t xml:space="preserve">Reescribir</t>
  </si>
  <si>
    <t xml:space="preserve">Escribir (nuevas)</t>
  </si>
  <si>
    <t xml:space="preserve">En borrador o más avanzadas</t>
  </si>
  <si>
    <t xml:space="preserve">Tarjetas que se archivan (absorbidas)</t>
  </si>
  <si>
    <t xml:space="preserve">Ajustes del tablero sin historia destino</t>
  </si>
  <si>
    <t xml:space="preserve">Comentarios del docente sin historia destino</t>
  </si>
  <si>
    <t xml:space="preserve">Funcionalidad relacionada</t>
  </si>
  <si>
    <t xml:space="preserve">Como</t>
  </si>
  <si>
    <t xml:space="preserve">Quiero</t>
  </si>
  <si>
    <t xml:space="preserve">Para</t>
  </si>
  <si>
    <t xml:space="preserve">Valor de negocio</t>
  </si>
  <si>
    <t xml:space="preserve">Prioridad</t>
  </si>
  <si>
    <t xml:space="preserve">Estimación relativa</t>
  </si>
  <si>
    <t xml:space="preserve">HU asociada</t>
  </si>
  <si>
    <t xml:space="preserve">Reglas de negocio</t>
  </si>
  <si>
    <t xml:space="preserve">Precondiciones</t>
  </si>
  <si>
    <t xml:space="preserve">N.º escenarios</t>
  </si>
  <si>
    <t xml:space="preserve">Dependencias</t>
  </si>
  <si>
    <t xml:space="preserve">Supuestos o asuntos pendientes</t>
  </si>
  <si>
    <t xml:space="preserve">Retroalimentación específica del docente</t>
  </si>
  <si>
    <t xml:space="preserve">Resultado de la validación</t>
  </si>
  <si>
    <t xml:space="preserve">Qué ajustar, con número de escenario</t>
  </si>
  <si>
    <t xml:space="preserve">Filas de validación que lo deciden</t>
  </si>
  <si>
    <t xml:space="preserve">Cambios realizados</t>
  </si>
  <si>
    <t xml:space="preserve">ID en Trello</t>
  </si>
  <si>
    <t xml:space="preserve">Acceso del auxiliar de admisión</t>
  </si>
  <si>
    <t xml:space="preserve">Control de acceso</t>
  </si>
  <si>
    <t xml:space="preserve">auxiliar de admisión</t>
  </si>
  <si>
    <t xml:space="preserve">identificarme antes de trabajar sobre la información de un paciente</t>
  </si>
  <si>
    <t xml:space="preserve">que quede constancia de quién registró cada dato</t>
  </si>
  <si>
    <t xml:space="preserve">Sin identificación previa no se puede saber quién hizo cada registro ni limitar quién accede a la información del paciente.</t>
  </si>
  <si>
    <t xml:space="preserve">Alta (Must)</t>
  </si>
  <si>
    <t xml:space="preserve">N/A</t>
  </si>
  <si>
    <t xml:space="preserve">• El sistema implementa una funcionalidad básica de inicio de sesión [2.4].
• El registro de usuarios y la recuperación de cuenta no forman parte de esta fase [2.4].</t>
  </si>
  <si>
    <t xml:space="preserve">• Las credenciales del auxiliar existen en el sistema.</t>
  </si>
  <si>
    <t xml:space="preserve">Prerrequisito de HU-004, HU-005 y HU-006.</t>
  </si>
  <si>
    <t xml:space="preserve">Quién crea las credenciales, sin definir. El documento descarta el módulo que lo haría [2.4].</t>
  </si>
  <si>
    <t xml:space="preserve">tanda-1-acceso-y-pacientes</t>
  </si>
  <si>
    <t xml:space="preserve">Ajustar</t>
  </si>
  <si>
    <t xml:space="preserve">Poner el tiempo de inactividad y decir qué puede hacer el auxiliar. Más el ajuste general (mockup y estimación). Detalle en Ajustes por historia: 3 filas.</t>
  </si>
  <si>
    <t xml:space="preserve">Sin fila del anexo (numeral 2.4)</t>
  </si>
  <si>
    <t xml:space="preserve">Comentarios del docente en Trello (exportación del 19 oct 2026), anexo por numeral y guía. Detalle en Ajustes por historia.</t>
  </si>
  <si>
    <t xml:space="preserve">HU-002</t>
  </si>
  <si>
    <t xml:space="preserve">Acceso del médico tratante</t>
  </si>
  <si>
    <t xml:space="preserve">médico tratante</t>
  </si>
  <si>
    <t xml:space="preserve">identificarme antes de consultar o registrar información clínica</t>
  </si>
  <si>
    <t xml:space="preserve">que la historia clínica de un paciente no quede disponible para cualquiera</t>
  </si>
  <si>
    <t xml:space="preserve">La información clínica es reservada. El control de acceso es lo que sostiene esa reserva dentro del sistema.</t>
  </si>
  <si>
    <t xml:space="preserve">• Las credenciales del médico tratante existen en el sistema.</t>
  </si>
  <si>
    <t xml:space="preserve">Prerrequisito de las historias del módulo de contacto con el servicio de salud.</t>
  </si>
  <si>
    <t xml:space="preserve">La separación de permisos entre roles es decisión del equipo, no del documento. Si no se adopta, los escenarios 5 y 6 se retiran.</t>
  </si>
  <si>
    <t xml:space="preserve">Tiempo de inactividad, qué datos ve el médico y por qué su acceso va aparte. Más el ajuste general (mockup y estimación). Detalle en Ajustes por historia: 3 filas.</t>
  </si>
  <si>
    <t xml:space="preserve">HU-003</t>
  </si>
  <si>
    <t xml:space="preserve">Acceso del responsable de catálogos</t>
  </si>
  <si>
    <t xml:space="preserve">responsable de catálogos</t>
  </si>
  <si>
    <t xml:space="preserve">identificarme antes de modificar un catálogo</t>
  </si>
  <si>
    <t xml:space="preserve">que un cambio que afecta a todos los registros no pueda hacerlo cualquiera</t>
  </si>
  <si>
    <t xml:space="preserve">Un valor de catálogo mal cargado se propaga a todos los pacientes que lo usen. El control de acceso limita quién puede provocar ese efecto.</t>
  </si>
  <si>
    <t xml:space="preserve">• El sistema implementa una funcionalidad básica de inicio de sesión [2.4].
• Cada entidad con más de cinco opciones seleccionables tiene su interfaz CRUD [2.3].</t>
  </si>
  <si>
    <t xml:space="preserve">• Las credenciales del responsable de catálogos existen en el sistema.</t>
  </si>
  <si>
    <t xml:space="preserve">Prerrequisito de las historias de catálogos, HU-018 a HU-033.</t>
  </si>
  <si>
    <t xml:space="preserve">Los mismos permisos por rol que HU-002.</t>
  </si>
  <si>
    <t xml:space="preserve">Cargo que exista en la IPS, qué hace con los catálogos y tiempo de inactividad. Más el ajuste general (mockup y estimación). Detalle en Ajustes por historia: 2 filas.</t>
  </si>
  <si>
    <t xml:space="preserve">registrar a un paciente nuevo</t>
  </si>
  <si>
    <t xml:space="preserve">que quien lo atienda después no tenga que volver a preguntarle sus datos</t>
  </si>
  <si>
    <t xml:space="preserve">Sin el registro del paciente no hay sobre qué consultar, actualizar ni asociar información clínica. Es la condición de partida de los dos módulos.</t>
  </si>
  <si>
    <t xml:space="preserve">• Los datos del paciente son los que exige la Resolución 866 de 2021 en su anexo técnico, grupo de identificación del usuario de los servicios de salud.
• Un paciente puede tener más de un país registrado como nacionalidad [2.1].
• La fecha de nacimiento se registra separada de la hora de nacimiento [2.1]. La hora puede faltar: el anexo técnico admite un valor de solo fecha para ese elemento.
• La ocupación admite solo las categorías hijas del catálogo CIUO-88 AC del DANE [2.1].
• Un paciente puede registrar más de una categoría de discapacidad [2.1].
• La ciudad de residencia se registra junto con su código oficial DANE [2.1].
• La oposición a la presunción legal de donación y el documento de voluntad anticipada se manejan como estructuras separadas [2.1], con sus propias historias.</t>
  </si>
  <si>
    <t xml:space="preserve">• El auxiliar de admisión tiene sesión iniciada (HU-001).
• Los catálogos están cargados.</t>
  </si>
  <si>
    <t xml:space="preserve">Depende de HU-001 y de los catálogos cargados. Prerrequisito de HU-005, HU-006 y de todo el módulo clínico.</t>
  </si>
  <si>
    <t xml:space="preserve">Cuáles datos son obligatorios, sin definir por el documento.</t>
  </si>
  <si>
    <t xml:space="preserve">Listar los datos por numeral (1 a 15; faltan cinco), validar cada uno con su numeral, obligatorios y duplicado. Más el ajuste general (mockup y estimación). Detalle en Ajustes por historia: 6 filas.</t>
  </si>
  <si>
    <t xml:space="preserve">V-01 a V-17</t>
  </si>
  <si>
    <t xml:space="preserve">consultar los datos de un paciente registrado</t>
  </si>
  <si>
    <t xml:space="preserve">saber qué información falta antes de remitirlo a atención</t>
  </si>
  <si>
    <t xml:space="preserve">Evita que el paciente vuelva a entregar lo que ya dio y permite detectar datos incompletos antes de que se necesiten.</t>
  </si>
  <si>
    <t xml:space="preserve">• El módulo de gestión de pacientes permite la consulta de los datos del paciente [2].
• Los datos con varios valores, como nacionalidad y discapacidad, se entregan completos [2.1].</t>
  </si>
  <si>
    <t xml:space="preserve">• El auxiliar de admisión tiene sesión iniciada (HU-001).
• El paciente tiene registro previo (HU-004).</t>
  </si>
  <si>
    <t xml:space="preserve">Depende de HU-001 y HU-004.</t>
  </si>
  <si>
    <t xml:space="preserve">Por qué dato se busca a un paciente, sin definir.</t>
  </si>
  <si>
    <t xml:space="preserve">Buscar por documento, entregar los datos de los numerales 1 a 15 y arreglar el escenario 7. Más el ajuste general (mockup y estimación). Detalle en Ajustes por historia: 5 filas.</t>
  </si>
  <si>
    <t xml:space="preserve">Actualización de un paciente</t>
  </si>
  <si>
    <t xml:space="preserve">actualizar los datos de un paciente registrado</t>
  </si>
  <si>
    <t xml:space="preserve">que un dato viejo o mal tomado no se arrastre a las atenciones siguientes</t>
  </si>
  <si>
    <t xml:space="preserve">Un dato errado sin corregir se propaga a toda atención posterior.</t>
  </si>
  <si>
    <t xml:space="preserve">• El módulo de gestión de pacientes permite actualizar los datos del paciente [2].
• Las restricciones del numeral [2.1] se aplican igual al actualizar que al registrar.
• Una corrección agrega el dato nuevo con la fecha, la hora y quién la hizo, y conserva el anterior. Lo exige la Resolución 866 en su artículo 10 y condiciona el modelo de datos.</t>
  </si>
  <si>
    <t xml:space="preserve">Ninguno.</t>
  </si>
  <si>
    <t xml:space="preserve">Separar actualizar de corregir; la corrección guarda fecha, hora y quién. Más el ajuste general (mockup y estimación). Detalle en Ajustes por historia: 4 filas.</t>
  </si>
  <si>
    <t xml:space="preserve">registrar la atención de un paciente con su diagnóstico</t>
  </si>
  <si>
    <t xml:space="preserve">dejar constancia de lo que encontré antes de que se pierda con el turno</t>
  </si>
  <si>
    <t xml:space="preserve">Es el registro que asocia una atención a un paciente. Sin él, los datos del paciente quedan sin uso clínico y no hay historia que consultar en la siguiente atención.</t>
  </si>
  <si>
    <t xml:space="preserve">• Los datos de la atención son los que exige la Resolución 866 de 2021 en su anexo técnico, grupo de contacto con el servicio de salud.
• El diagnóstico se registra con la última versión del CIE-10 [2.2].
• Se respeta la jerarquía padre-hijo de los códigos diagnósticos [2.2]. Si un código padre puede asociarse directamente a una atención queda pendiente de definición.
• El diagnóstico tiene entidad propia con su interfaz CRUD, por tener más de cinco opciones seleccionables [2.3].</t>
  </si>
  <si>
    <t xml:space="preserve">• El médico tratante tiene sesión iniciada (HU-002).
• El paciente tiene registro previo (HU-004).
• El catálogo CIE-10 está cargado.</t>
  </si>
  <si>
    <t xml:space="preserve">Depende de HU-002, HU-004 y de la carga del catálogo CIE-10. Prerrequisito de HU-008 y HU-009.</t>
  </si>
  <si>
    <t xml:space="preserve">Cuál es la última versión del CIE-10 que se va a usar, sin definir. El documento dice "última versión" sin fijar cuál [2.2].</t>
  </si>
  <si>
    <t xml:space="preserve">tanda-2-contacto-clinico</t>
  </si>
  <si>
    <t xml:space="preserve">Listar los datos por numeral (16 a 23), validar cada uno con su numeral y cerrar los escenarios 10 y 11. Más el ajuste general (mockup y estimación). Detalle en Ajustes por historia: 6 filas.</t>
  </si>
  <si>
    <t xml:space="preserve">V-18 a V-28</t>
  </si>
  <si>
    <t xml:space="preserve">consultar las atenciones anteriores de un paciente</t>
  </si>
  <si>
    <t xml:space="preserve">no repetir lo que ya se hizo ni contradecir un diagnóstico previo sin saberlo</t>
  </si>
  <si>
    <t xml:space="preserve">Un diagnóstico hecho sin conocer los anteriores rompe la continuidad de la atención dentro de la propia IPS.</t>
  </si>
  <si>
    <t xml:space="preserve">• El módulo de contacto con el servicio de salud incluye submódulo de consulta [2].
• La jerarquía padre-hijo del diagnóstico se conserva al consultar [2.2].</t>
  </si>
  <si>
    <t xml:space="preserve">• El médico tratante tiene sesión iniciada (HU-002).
• El paciente tiene al menos una atención registrada (HU-007).</t>
  </si>
  <si>
    <t xml:space="preserve">Depende de HU-002 y HU-007.</t>
  </si>
  <si>
    <t xml:space="preserve">Entregar todos los datos de la atención, decir el orden y quitar la precondición. Más el ajuste general (mockup y estimación). Detalle en Ajustes por historia: 6 filas.</t>
  </si>
  <si>
    <t xml:space="preserve">modificar un dato de una atención que quedó mal registrado</t>
  </si>
  <si>
    <t xml:space="preserve">que el error no sirva de base a la siguiente atención, sin borrar lo que se escribió</t>
  </si>
  <si>
    <t xml:space="preserve">Un diagnóstico errado sin corregir orienta mal la atención siguiente. Y conservar lo anterior permite saber qué se sabía en cada momento.</t>
  </si>
  <si>
    <t xml:space="preserve">• El módulo de contacto con el servicio de salud incluye submódulo de modificación [2].
• Las restricciones del diagnóstico se aplican igual al modificar que al registrar [2.2].
• Una modificación agrega el dato nuevo con la fecha, la hora y quién la hizo, y conserva el anterior. Lo exige la Resolución 866 en su artículo 10 y condiciona el modelo de datos.</t>
  </si>
  <si>
    <t xml:space="preserve">• El médico tratante tiene sesión iniciada (HU-002).
• Existe una atención registrada (HU-007).</t>
  </si>
  <si>
    <t xml:space="preserve">Guardar fecha, hora y quién corrige; las mismas reglas de HU-007. Más el ajuste general (mockup y estimación). Detalle en Ajustes por historia: 3 filas.</t>
  </si>
  <si>
    <t xml:space="preserve">registrar que un paciente manifestó oposición a ser donante</t>
  </si>
  <si>
    <t xml:space="preserve">que esa voluntad quede en el sistema antes de que alguien tenga que decidir sin ella</t>
  </si>
  <si>
    <t xml:space="preserve">Es una manifestación de voluntad con efectos legales. Si no está registrada al momento en que se necesita, no existe.</t>
  </si>
  <si>
    <t xml:space="preserve">• La oposición a la presunción legal de donación se representa como estructura separada [2.1].
• La estructura tiene sus cuatro operaciones de CRUD [2.1].</t>
  </si>
  <si>
    <t xml:space="preserve">Depende de HU-001 y HU-004. Prerrequisito de HU-011, HU-012 y HU-013.</t>
  </si>
  <si>
    <t xml:space="preserve">Si la manifestación requiere soporte documental, sin definir por el documento.</t>
  </si>
  <si>
    <t xml:space="preserve">tanda-3-estructuras-separadas</t>
  </si>
  <si>
    <t xml:space="preserve">Sí o No y fecha del documento; sin registro no es No. Más el ajuste general (mockup y estimación). Detalle en Ajustes por historia: 4 filas.</t>
  </si>
  <si>
    <t xml:space="preserve">consultar si un paciente manifestó oposición a ser donante</t>
  </si>
  <si>
    <t xml:space="preserve">saber si esa voluntad ya está en el sistema o hay que preguntársela</t>
  </si>
  <si>
    <t xml:space="preserve">Permite distinguir entre una voluntad registrada y una que nadie preguntó.</t>
  </si>
  <si>
    <t xml:space="preserve">• La oposición se consulta como estructura separada del registro general [2.1].</t>
  </si>
  <si>
    <t xml:space="preserve">Depende de HU-001, HU-004 y HU-010.</t>
  </si>
  <si>
    <t xml:space="preserve">Historial claro y fecha del documento; sin registro no es No. Más el ajuste general (mockup y estimación). Detalle en Ajustes por historia: 3 filas.</t>
  </si>
  <si>
    <t xml:space="preserve">actualizar la manifestación de un paciente sobre la donación</t>
  </si>
  <si>
    <t xml:space="preserve">que el sistema refleje su voluntad actual y no una que ya cambió</t>
  </si>
  <si>
    <t xml:space="preserve">Una manifestación de voluntad puede cambiar. Si el sistema conserva la antigua como vigente, obra contra la voluntad del paciente.</t>
  </si>
  <si>
    <t xml:space="preserve">• La estructura de oposición admite actualización [2.1].
• La actualización conserva la manifestación anterior con su fecha y quién la registró.</t>
  </si>
  <si>
    <t xml:space="preserve">• El auxiliar de admisión tiene sesión iniciada (HU-001).
• El paciente tiene una manifestación registrada (HU-010).</t>
  </si>
  <si>
    <t xml:space="preserve">Escenario de No a Sí; separar cambio de voluntad de corrección. Más el ajuste general (mockup y estimación). Detalle en Ajustes por historia: 3 filas.</t>
  </si>
  <si>
    <t xml:space="preserve">Eliminación de la oposición a la presunción legal de donación</t>
  </si>
  <si>
    <t xml:space="preserve">eliminar una manifestación que se registró por error</t>
  </si>
  <si>
    <t xml:space="preserve">que no quede en el sistema una voluntad que el paciente nunca expresó</t>
  </si>
  <si>
    <t xml:space="preserve">Una manifestación registrada por error es peor que ninguna, porque nadie va a volver a preguntar si el sistema dice que ya está.</t>
  </si>
  <si>
    <t xml:space="preserve">Media (Should)</t>
  </si>
  <si>
    <t xml:space="preserve">• La estructura de oposición admite eliminación [2.1].
• La eliminación conserva el registro de que existió y de quién la eliminó.</t>
  </si>
  <si>
    <t xml:space="preserve">Si la eliminación requiere justificación, sin definir por el documento.</t>
  </si>
  <si>
    <t xml:space="preserve">Es anular un error, con motivo; no cambia la voluntad del paciente. Más el ajuste general (mockup y estimación). Detalle en Ajustes por historia: 3 filas.</t>
  </si>
  <si>
    <t xml:space="preserve">registrar que un paciente tiene documento de voluntad anticipada</t>
  </si>
  <si>
    <t xml:space="preserve">que quien deba respetarla sepa que existe sin tener que buscarla</t>
  </si>
  <si>
    <t xml:space="preserve">Es una manifestación de voluntad con efectos sobre la atención. Si el sistema no sabe que existe, no se aplica.</t>
  </si>
  <si>
    <t xml:space="preserve">• El documento de voluntad anticipada se implementa como estructura separada [2.1].
• La estructura tiene sus cuatro operaciones de CRUD [2.1].</t>
  </si>
  <si>
    <t xml:space="preserve">Depende de HU-001 y HU-004. Prerrequisito de HU-015, HU-016 y HU-017.</t>
  </si>
  <si>
    <t xml:space="preserve">Si el sistema guarda el documento o solo la constancia de que existe, sin definir.</t>
  </si>
  <si>
    <t xml:space="preserve">Los tres datos del numeral 9; si no tiene documento no se piden los otros. Más el ajuste general (mockup y estimación). Detalle en Ajustes por historia: 5 filas.</t>
  </si>
  <si>
    <t xml:space="preserve">V-10, V-18</t>
  </si>
  <si>
    <t xml:space="preserve">consultar si un paciente tiene documento de voluntad anticipada</t>
  </si>
  <si>
    <t xml:space="preserve">saber si ya está registrado o hay que preguntárselo</t>
  </si>
  <si>
    <t xml:space="preserve">Permite distinguir entre un paciente que no tiene documento y uno al que nadie le preguntó.</t>
  </si>
  <si>
    <t xml:space="preserve">• El documento de voluntad anticipada se consulta como estructura separada [2.1].</t>
  </si>
  <si>
    <t xml:space="preserve">Depende de HU-001, HU-004 y HU-014.</t>
  </si>
  <si>
    <t xml:space="preserve">Distinguir no tiene, no se sabe y anulado; mostrar los cambios. Más el ajuste general (mockup y estimación). Detalle en Ajustes por historia: 3 filas.</t>
  </si>
  <si>
    <t xml:space="preserve">Actualización del documento de voluntad anticipada</t>
  </si>
  <si>
    <t xml:space="preserve">actualizar el registro de voluntad anticipada de un paciente</t>
  </si>
  <si>
    <t xml:space="preserve">que el sistema refleje el documento vigente y no uno que ya fue revocado</t>
  </si>
  <si>
    <t xml:space="preserve">Un documento de voluntad anticipada puede modificarse, sustituirse o revocarse. Si el sistema conserva el anterior como vigente, informa mal a quien deba aplicarlo.</t>
  </si>
  <si>
    <t xml:space="preserve">• La estructura de voluntad anticipada admite actualización [2.1].
• La actualización conserva el registro anterior con su fecha y quién lo hizo.</t>
  </si>
  <si>
    <t xml:space="preserve">• El auxiliar de admisión tiene sesión iniciada (HU-001).
• El paciente tiene voluntad anticipada registrada (HU-014).</t>
  </si>
  <si>
    <t xml:space="preserve">Si revocar el documento se registra como actualización o como eliminación, sin definir.</t>
  </si>
  <si>
    <t xml:space="preserve">Escenarios de cambio, reemplazo y revocación. Más el ajuste general (mockup y estimación). Detalle en Ajustes por historia: 3 filas.</t>
  </si>
  <si>
    <t xml:space="preserve">Eliminación del registro de voluntad anticipada</t>
  </si>
  <si>
    <t xml:space="preserve">eliminar un registro de voluntad anticipada que se hizo por error</t>
  </si>
  <si>
    <t xml:space="preserve">que nadie asuma que existe un documento que el paciente nunca suscribió</t>
  </si>
  <si>
    <t xml:space="preserve">Un registro falso de voluntad anticipada puede condicionar decisiones clínicas sobre la base de un documento inexistente.</t>
  </si>
  <si>
    <t xml:space="preserve">• La estructura de voluntad anticipada admite eliminación [2.1].
• La eliminación conserva el registro de que existió y de quién la hizo.</t>
  </si>
  <si>
    <t xml:space="preserve">Si la eliminación requiere justificación, sin definir.</t>
  </si>
  <si>
    <t xml:space="preserve">Es anular un error; revocar va por HU-016. Más el ajuste general (mockup y estimación). Detalle en Ajustes por historia: 3 filas.</t>
  </si>
  <si>
    <t xml:space="preserve">Carga de valores en el catálogo de países</t>
  </si>
  <si>
    <t xml:space="preserve">Catálogo de países</t>
  </si>
  <si>
    <t xml:space="preserve">cargar los países en el sistema</t>
  </si>
  <si>
    <t xml:space="preserve">que el auxiliar de admisión pueda registrar la nacionalidad y la residencia de un paciente</t>
  </si>
  <si>
    <t xml:space="preserve">Sin el catálogo cargado no se puede registrar al primer paciente. Es prerrequisito del módulo de gestión de pacientes.</t>
  </si>
  <si>
    <t xml:space="preserve">RC-1, RC-3, RC-5.
• Los códigos de país son de tres caracteres según el estándar ISO 3166-1.
• El mismo catálogo sirve a la nacionalidad y a la residencia habitual [2.1].</t>
  </si>
  <si>
    <t xml:space="preserve">• El responsable de catálogos tiene sesión iniciada (HU-003).</t>
  </si>
  <si>
    <t xml:space="preserve">Depende de HU-003. Prerrequisito de HU-004.</t>
  </si>
  <si>
    <t xml:space="preserve">De dónde se obtiene el catálogo oficial, sin definir.</t>
  </si>
  <si>
    <t xml:space="preserve">tanda-4a-paises-ocupaciones</t>
  </si>
  <si>
    <t xml:space="preserve">Precisar la carga desde el archivo oficial; revisar contra ISO 3166-1. Más el ajuste general (mockup y estimación). Detalle en Ajustes por historia: 3 filas.</t>
  </si>
  <si>
    <t xml:space="preserve">HU-019</t>
  </si>
  <si>
    <t xml:space="preserve">Consulta del catálogo de países</t>
  </si>
  <si>
    <t xml:space="preserve">consultar los países cargados</t>
  </si>
  <si>
    <t xml:space="preserve">saber si el catálogo está completo antes de que alguien no encuentre el que necesita</t>
  </si>
  <si>
    <t xml:space="preserve">Un catálogo incompleto bloquea el registro de pacientes y el problema solo se descubre cuando ya hay alguien esperando.</t>
  </si>
  <si>
    <t xml:space="preserve">RC-1, RC-2.</t>
  </si>
  <si>
    <t xml:space="preserve">Depende de HU-003 y HU-018.</t>
  </si>
  <si>
    <t xml:space="preserve">Búsqueda exacta o parcial; fuente y versión. Más el ajuste general (mockup y estimación). Detalle en Ajustes por historia: 3 filas.</t>
  </si>
  <si>
    <t xml:space="preserve">HU-020</t>
  </si>
  <si>
    <t xml:space="preserve">Actualización de un valor del catálogo de países</t>
  </si>
  <si>
    <t xml:space="preserve">actualizar un país cuando el catálogo oficial cambia</t>
  </si>
  <si>
    <t xml:space="preserve">que el sistema no siga ofreciendo un nombre o un código que ya no es el vigente</t>
  </si>
  <si>
    <t xml:space="preserve">Un catálogo desactualizado produce registros que no corresponden con la fuente oficial y que después hay que corregir uno por uno.</t>
  </si>
  <si>
    <t xml:space="preserve">RC-1, RC-3, RC-5.</t>
  </si>
  <si>
    <t xml:space="preserve">• El responsable de catálogos tiene sesión iniciada (HU-003).
• El país existe en el catálogo (HU-018).</t>
  </si>
  <si>
    <t xml:space="preserve">Cambio de código sin tocar lo ya registrado. Más el ajuste general (mockup y estimación). Detalle en Ajustes por historia: 2 filas.</t>
  </si>
  <si>
    <t xml:space="preserve">HU-021</t>
  </si>
  <si>
    <t xml:space="preserve">Eliminación de un valor del catálogo de países</t>
  </si>
  <si>
    <t xml:space="preserve">eliminar un país que se cargó por error</t>
  </si>
  <si>
    <t xml:space="preserve">que nadie lo asocie a un paciente y haya que deshacerlo después</t>
  </si>
  <si>
    <t xml:space="preserve">Un valor mal cargado se propaga a todos los registros que lo usen antes de que alguien lo note.</t>
  </si>
  <si>
    <t xml:space="preserve">RC-1, RC-4, RC-5.</t>
  </si>
  <si>
    <t xml:space="preserve">Qué hacer con los registros que usan un valor que debe retirarse, sin definir. El escenario 2 lo bloquea y el documento no dice si existe otra vía.</t>
  </si>
  <si>
    <t xml:space="preserve">Eliminar pasa a inactivar, con motivo. Más el ajuste general (mockup y estimación). Detalle en Ajustes por historia: 3 filas.</t>
  </si>
  <si>
    <t xml:space="preserve">Carga de valores en el catálogo de ocupaciones</t>
  </si>
  <si>
    <t xml:space="preserve">Catálogo de ocupaciones</t>
  </si>
  <si>
    <t xml:space="preserve">cargar las ocupaciones del catálogo CIUO-88 AC</t>
  </si>
  <si>
    <t xml:space="preserve">que el auxiliar de admisión pueda registrar la ocupación de un paciente</t>
  </si>
  <si>
    <t xml:space="preserve">Sin el catálogo cargado, la ocupación queda sin registrar y el registro del paciente incompleto.</t>
  </si>
  <si>
    <t xml:space="preserve">RC-1, RC-3, RC-5.
• La ocupación se toma del catálogo CIUO-88 AC del DANE [2.1].
• El catálogo distingue categorías padre de categorías hijas.
• Solo las categorías hijas pueden asociarse a un paciente [2.1].</t>
  </si>
  <si>
    <t xml:space="preserve">Cuántos niveles de jerarquía tiene el catálogo, sin definir por el documento.</t>
  </si>
  <si>
    <t xml:space="preserve">Precisar la carga (archivo, campos, padre e hija); cargo que exista en la IPS. Más el ajuste general (mockup y estimación). Detalle en Ajustes por historia: 4 filas.</t>
  </si>
  <si>
    <t xml:space="preserve">HU-023</t>
  </si>
  <si>
    <t xml:space="preserve">Consulta del catálogo de ocupaciones</t>
  </si>
  <si>
    <t xml:space="preserve">consultar las ocupaciones cargadas y su jerarquía</t>
  </si>
  <si>
    <t xml:space="preserve">saber si falta alguna categoría antes de que un paciente no encuentre la suya</t>
  </si>
  <si>
    <t xml:space="preserve">Una categoría hija que falta deja sin registrar la ocupación de un paciente concreto, y el problema aparece durante la admisión.</t>
  </si>
  <si>
    <t xml:space="preserve">RC-1, RC-2.
• Solo las categorías hijas pueden asociarse a un paciente [2.1].</t>
  </si>
  <si>
    <t xml:space="preserve">Depende de HU-003 y HU-022.</t>
  </si>
  <si>
    <t xml:space="preserve">Búsqueda; fuente y versión. Más el ajuste general (mockup y estimación). Detalle en Ajustes por historia: 3 filas.</t>
  </si>
  <si>
    <t xml:space="preserve">HU-024</t>
  </si>
  <si>
    <t xml:space="preserve">Actualización de un valor del catálogo de ocupaciones</t>
  </si>
  <si>
    <t xml:space="preserve">actualizar una ocupación cuando el catálogo oficial cambia</t>
  </si>
  <si>
    <t xml:space="preserve">que el sistema no siga ofreciendo una denominación que el DANE ya cambió</t>
  </si>
  <si>
    <t xml:space="preserve">Una ocupación con nombre desactualizado produce registros que no corresponden con la clasificación oficial.</t>
  </si>
  <si>
    <t xml:space="preserve">• El responsable de catálogos tiene sesión iniciada (HU-003).
• La ocupación existe en el catálogo (HU-022).</t>
  </si>
  <si>
    <t xml:space="preserve">Rechazar padre inexistente y ciclos; escenario sin permiso. Más el ajuste general (mockup y estimación). Detalle en Ajustes por historia: 2 filas.</t>
  </si>
  <si>
    <t xml:space="preserve">HU-025</t>
  </si>
  <si>
    <t xml:space="preserve">Eliminación de un valor del catálogo de ocupaciones</t>
  </si>
  <si>
    <t xml:space="preserve">eliminar una ocupación que se cargó por error</t>
  </si>
  <si>
    <t xml:space="preserve">que nadie la asocie a un paciente y quede un dato que no existe en la clasificación oficial</t>
  </si>
  <si>
    <t xml:space="preserve">Una ocupación inventada rompe la correspondencia con el catálogo del DANE y se detecta tarde, cuando ya hay pacientes registrados con ella.</t>
  </si>
  <si>
    <t xml:space="preserve">Qué hacer con las categorías hijas cuando su padre debe retirarse, sin definir. El escenario 3 lo bloquea.</t>
  </si>
  <si>
    <t xml:space="preserve">Inactivar con motivo; escenario sin permiso. Más el ajuste general (mockup y estimación). Detalle en Ajustes por historia: 2 filas.</t>
  </si>
  <si>
    <t xml:space="preserve">Carga de valores en el catálogo de municipios</t>
  </si>
  <si>
    <t xml:space="preserve">Catálogo de municipios</t>
  </si>
  <si>
    <t xml:space="preserve">cargar los municipios con su código oficial DANE</t>
  </si>
  <si>
    <t xml:space="preserve">que el auxiliar de admisión pueda registrar la ciudad de residencia de un paciente</t>
  </si>
  <si>
    <t xml:space="preserve">Sin el catálogo cargado, la ciudad de residencia queda sin registrar y el registro del paciente incompleto.</t>
  </si>
  <si>
    <t xml:space="preserve">RC-1, RC-3, RC-5.
• La ciudad de residencia se registra junto con su código oficial DANE [2.1].
• El código proviene de la División Político Administrativa del DANE.</t>
  </si>
  <si>
    <t xml:space="preserve">tanda-4b-municipios-diagnosticos</t>
  </si>
  <si>
    <t xml:space="preserve">Precisar la carga; código de 5 con el cero inicial. Más el ajuste general (mockup y estimación). Detalle en Ajustes por historia: 3 filas.</t>
  </si>
  <si>
    <t xml:space="preserve">HU-027</t>
  </si>
  <si>
    <t xml:space="preserve">Consulta del catálogo de municipios</t>
  </si>
  <si>
    <t xml:space="preserve">consultar los municipios cargados con su código</t>
  </si>
  <si>
    <t xml:space="preserve">saber si falta alguno antes de que un paciente no encuentre el suyo</t>
  </si>
  <si>
    <t xml:space="preserve">Un municipio que falta bloquea el registro de un paciente concreto durante la admisión.</t>
  </si>
  <si>
    <t xml:space="preserve">RC-1, RC-2.
• El municipio y su código DANE se consultan juntos [2.1].</t>
  </si>
  <si>
    <t xml:space="preserve">Depende de HU-003 y HU-026.</t>
  </si>
  <si>
    <t xml:space="preserve">Mostrar el departamento; búsqueda. Más el ajuste general (mockup y estimación). Detalle en Ajustes por historia: 2 filas.</t>
  </si>
  <si>
    <t xml:space="preserve">HU-028</t>
  </si>
  <si>
    <t xml:space="preserve">Actualización de un valor del catálogo de municipios</t>
  </si>
  <si>
    <t xml:space="preserve">actualizar un municipio cuando el catálogo oficial cambia</t>
  </si>
  <si>
    <t xml:space="preserve">que el sistema no siga ofreciendo un nombre o un código que el DANE ya modificó</t>
  </si>
  <si>
    <t xml:space="preserve">Un municipio con datos desactualizados produce registros que no corresponden con la División Político Administrativa vigente.</t>
  </si>
  <si>
    <t xml:space="preserve">• El responsable de catálogos tiene sesión iniciada (HU-003).
• El municipio existe en el catálogo (HU-026).</t>
  </si>
  <si>
    <t xml:space="preserve">Cambio de código sin tocar residencias; escenario sin permiso. Más el ajuste general (mockup y estimación). Detalle en Ajustes por historia: 2 filas.</t>
  </si>
  <si>
    <t xml:space="preserve">HU-029</t>
  </si>
  <si>
    <t xml:space="preserve">Eliminación de un valor del catálogo de municipios</t>
  </si>
  <si>
    <t xml:space="preserve">eliminar un municipio que se cargó por error</t>
  </si>
  <si>
    <t xml:space="preserve">que nadie lo asocie a un paciente y quede una residencia que no existe</t>
  </si>
  <si>
    <t xml:space="preserve">Un municipio inventado rompe la correspondencia con el catálogo del DANE y se detecta cuando ya hay pacientes registrados con él.</t>
  </si>
  <si>
    <t xml:space="preserve">Qué hacer con los registros que usan un municipio que debe retirarse, sin definir. El escenario 2 lo bloquea.</t>
  </si>
  <si>
    <t xml:space="preserve">Inactivar con motivo. Más el ajuste general (mockup y estimación). Detalle en Ajustes por historia: 2 filas.</t>
  </si>
  <si>
    <t xml:space="preserve">Carga de valores en el catálogo de diagnósticos</t>
  </si>
  <si>
    <t xml:space="preserve">Catálogo de diagnósticos</t>
  </si>
  <si>
    <t xml:space="preserve">cargar los códigos de la última versión del CIE-10</t>
  </si>
  <si>
    <t xml:space="preserve">que el médico tratante pueda registrar el diagnóstico de una atención</t>
  </si>
  <si>
    <t xml:space="preserve">Sin el catálogo cargado no se puede registrar ninguna atención, porque el diagnóstico es obligatorio. Bloquea el módulo clínico completo.</t>
  </si>
  <si>
    <t xml:space="preserve">RC-1, RC-3, RC-5.
• El diagnóstico se implementa con la última versión del CIE-10 [2.2].
• Se respeta la jerarquía padre-hijo de los códigos diagnósticos [2.2].
• Deben preverse estructuras adecuadas para representar esa jerarquía [2.2].</t>
  </si>
  <si>
    <t xml:space="preserve">Depende de HU-003. Prerrequisito de HU-007.</t>
  </si>
  <si>
    <t xml:space="preserve">Cuál es la última versión del CIE-10 que se va a cargar, sin definir por el documento [2.2]. De dónde se obtiene el catálogo oficial, sin definir.</t>
  </si>
  <si>
    <t xml:space="preserve">Precisar la carga por versión; escenario sin permiso. Más el ajuste general (mockup y estimación). Detalle en Ajustes por historia: 3 filas.</t>
  </si>
  <si>
    <t xml:space="preserve">Consulta del catálogo de diagnósticos</t>
  </si>
  <si>
    <t xml:space="preserve">consultar los códigos cargados y su jerarquía</t>
  </si>
  <si>
    <t xml:space="preserve">saber si el catálogo está completo antes de que el médico no encuentre el código que necesita</t>
  </si>
  <si>
    <t xml:space="preserve">Un código que falta detiene el registro de una atención, y el médico se entera con el paciente delante.</t>
  </si>
  <si>
    <t xml:space="preserve">RC-1, RC-2.
• La jerarquía padre-hijo se conserva al consultar [2.2].</t>
  </si>
  <si>
    <t xml:space="preserve">Depende de HU-003 y HU-030.</t>
  </si>
  <si>
    <t xml:space="preserve">Si un código padre puede asociarse directamente a una atención, sin definir. Decide el escenario 4 y afecta a HU-007.</t>
  </si>
  <si>
    <t xml:space="preserve">Un código de 3 caracteres no se elige; búsqueda sin resultados. Más el ajuste general (mockup y estimación). Detalle en Ajustes por historia: 1 fila.</t>
  </si>
  <si>
    <t xml:space="preserve">Anexo por numeral y guía. Esta tarjeta no está en la exportación de Trello del 19 oct: su retroalimentación sigue sin verificar.</t>
  </si>
  <si>
    <t xml:space="preserve">HU-032</t>
  </si>
  <si>
    <t xml:space="preserve">Actualización de un valor del catálogo de diagnósticos</t>
  </si>
  <si>
    <t xml:space="preserve">actualizar el catálogo cuando cambia la versión del CIE-10</t>
  </si>
  <si>
    <t xml:space="preserve">que el médico registre con la clasificación vigente sin perder lo ya diagnosticado</t>
  </si>
  <si>
    <t xml:space="preserve">Una versión nueva del CIE-10 cambia códigos y descripciones. Si el sistema no se actualiza, los diagnósticos nuevos quedan fuera de la clasificación vigente.</t>
  </si>
  <si>
    <t xml:space="preserve">RC-1, RC-3, RC-5.
• El diagnóstico se implementa con la última versión del CIE-10 [2.2].</t>
  </si>
  <si>
    <t xml:space="preserve">• El responsable de catálogos tiene sesión iniciada (HU-003).
• El código existe en el catálogo (HU-030).</t>
  </si>
  <si>
    <t xml:space="preserve">Si los diagnósticos registrados con una versión anterior deben migrarse a la nueva, sin definir. El escenario 3 los conserva sin migrar.</t>
  </si>
  <si>
    <t xml:space="preserve">La versión nueva inactiva lo que retira. Más el ajuste general (mockup y estimación). Detalle en Ajustes por historia: 1 fila.</t>
  </si>
  <si>
    <t xml:space="preserve">HU-033</t>
  </si>
  <si>
    <t xml:space="preserve">Eliminación de un valor del catálogo de diagnósticos</t>
  </si>
  <si>
    <t xml:space="preserve">eliminar un código que se cargó por error</t>
  </si>
  <si>
    <t xml:space="preserve">que nadie diagnostique con un código que no existe en la clasificación oficial</t>
  </si>
  <si>
    <t xml:space="preserve">Un diagnóstico con código inventado no interopera con ningún otro prestador, que es justo lo que el proyecto debe garantizar.</t>
  </si>
  <si>
    <t xml:space="preserve">RC-1, RC-4, RC-5.
• La jerarquía padre-hijo se conserva íntegra [2.2].</t>
  </si>
  <si>
    <t xml:space="preserve">Qué hacer con los códigos hijos cuando su padre debe retirarse, sin definir. El escenario 3 lo bloquea.</t>
  </si>
  <si>
    <t xml:space="preserve">Inactivar con motivo; escenario sin permiso. Más el ajuste general (mockup y estimación). Detalle en Ajustes por historia: 1 fila.</t>
  </si>
  <si>
    <t xml:space="preserve">Historia</t>
  </si>
  <si>
    <t xml:space="preserve">Fila de validación</t>
  </si>
  <si>
    <t xml:space="preserve">Resultado</t>
  </si>
  <si>
    <t xml:space="preserve">Fuente</t>
  </si>
  <si>
    <t xml:space="preserve">Historia destino (v3)</t>
  </si>
  <si>
    <t xml:space="preserve">Estado en v3</t>
  </si>
  <si>
    <t xml:space="preserve">HU-001 a HU-033</t>
  </si>
  <si>
    <t xml:space="preserve">General</t>
  </si>
  <si>
    <t xml:space="preserve">En las 33: agregar el mockup (imagen o enlace) de la pantalla y sus estados, ligado a los escenarios (D-11). La estimación 0 pasa a “Pendiente de estimación” (D-12). Cuando una historia necesita muchas reglas, no las copia: dice el numeral del anexo que las fija.</t>
  </si>
  <si>
    <t xml:space="preserve">Docente: c1 y c2 de todas las historias; pedido del autor del 2026-10-20</t>
  </si>
  <si>
    <t xml:space="preserve">Todas (tanda 0)</t>
  </si>
  <si>
    <t xml:space="preserve">Aplicado: 30 mockups, uno por historia (fase 3); la estimación se hace en clase</t>
  </si>
  <si>
    <t xml:space="preserve">HU-018 a HU-033</t>
  </si>
  <si>
    <t xml:space="preserve">En las de catálogos: cambiar “responsable de catálogos” por un cargo que exista en la IPS, con su función y sus permisos (D-02), en título, descripción, precondiciones y escenarios.</t>
  </si>
  <si>
    <t xml:space="preserve">Docente HU-022: c2; retro General</t>
  </si>
  <si>
    <t xml:space="preserve">Catálogos (tanda 0 y T4, T5)</t>
  </si>
  <si>
    <t xml:space="preserve">Aplicado en tanda 0 (actores, D-02), T4 y T5</t>
  </si>
  <si>
    <t xml:space="preserve">Sin fila (2.4)</t>
  </si>
  <si>
    <t xml:space="preserve">Escenario 10: poner el tiempo de inactividad que cierra la sesión (D-06).</t>
  </si>
  <si>
    <t xml:space="preserve">Docente: c1 y c2</t>
  </si>
  <si>
    <t xml:space="preserve">Aplicado en borrador T1</t>
  </si>
  <si>
    <t xml:space="preserve">Decir qué puede hacer el auxiliar de admisión y por qué su acceso es distinto del de HU-002 y HU-003 (D-04).</t>
  </si>
  <si>
    <t xml:space="preserve">Docente: c2</t>
  </si>
  <si>
    <t xml:space="preserve">Cumple</t>
  </si>
  <si>
    <t xml:space="preserve">Escenario 9 (sin recuperación de clave) se queda. El docente retiró esa observación.</t>
  </si>
  <si>
    <t xml:space="preserve">Docente: c3</t>
  </si>
  <si>
    <t xml:space="preserve">Escenario 10: tiempo de inactividad (D-06).</t>
  </si>
  <si>
    <t xml:space="preserve">Escenario 5: decir qué datos del paciente ve el médico. Propuesta: los mismos que entrega HU-005.</t>
  </si>
  <si>
    <t xml:space="preserve">Docente: c1</t>
  </si>
  <si>
    <t xml:space="preserve">Decir qué puede hacer el médico y qué resultado de negocio separa su acceso de los otros dos (D-04). Si D-04 junta los accesos, esta historia se fusiona con HU-001.</t>
  </si>
  <si>
    <t xml:space="preserve">Docente: c2; numeral 2.4</t>
  </si>
  <si>
    <t xml:space="preserve">Cambiar “responsable de catálogos” por el cargo de D-02 en título, descripción, precondiciones y escenarios.</t>
  </si>
  <si>
    <t xml:space="preserve">Escenario 1: decir qué puede hacer con los catálogos (crear, consultar, actualizar, inactivar). Escenario 10: tiempo de inactividad (D-06). Decir por qué su acceso es aparte (D-04).</t>
  </si>
  <si>
    <t xml:space="preserve">Reglas: listar los datos del paciente con su nombre y su numeral del anexo (1 a 15), y decir que cada dato se valida con el formato y la longitud de su numeral. Hoy faltan en la lista el país de residencia (11), la etnia y la comunidad étnica (13), la zona (14) y la entidad del plan de beneficios (15).</t>
  </si>
  <si>
    <t xml:space="preserve">Docente: c2; anexo, numerales 1 a 15</t>
  </si>
  <si>
    <t xml:space="preserve">Escenario nuevo: un dato que no cumple el formato o la longitud de su numeral se rechaza, y el sistema dice cuál es.</t>
  </si>
  <si>
    <t xml:space="preserve">Anexo, numerales 1 a 15</t>
  </si>
  <si>
    <t xml:space="preserve">V-01, V-02, V-08, V-11 a V-15, V-17</t>
  </si>
  <si>
    <t xml:space="preserve">Escenario 8 (valor fuera del catálogo): nombrar los catálogos que revisa: países, tipo de documento, ocupación, discapacidad, municipio, etnia, comunidad étnica y entidad del plan de beneficios.</t>
  </si>
  <si>
    <t xml:space="preserve">Anexo, numerales 1, 2, 7, 10 a 13 y 15</t>
  </si>
  <si>
    <t xml:space="preserve">Escenario 9: decir cuáles datos son obligatorios (D-19).</t>
  </si>
  <si>
    <t xml:space="preserve">V-02, V-03</t>
  </si>
  <si>
    <t xml:space="preserve">Escenario 11: un paciente ya existe si tiene el mismo tipo y número de documento (D-07).</t>
  </si>
  <si>
    <t xml:space="preserve">Docente: c1 y c2; anexo, numeral 2</t>
  </si>
  <si>
    <t xml:space="preserve">V-01, V-05, V-08, V-11, V-13</t>
  </si>
  <si>
    <t xml:space="preserve">Escenarios 2 a 7 y 12 se quedan: varias nacionalidades, fecha y hora separadas, fecha sin hora, solo ocupaciones hijas, varias discapacidades, ciudad con código DANE.</t>
  </si>
  <si>
    <t xml:space="preserve">Docente: c2; numeral 2.1</t>
  </si>
  <si>
    <t xml:space="preserve">Decir por qué datos se busca al paciente: tipo y número de documento (D-07).</t>
  </si>
  <si>
    <t xml:space="preserve">Escenario 1: cambiar “su información completa” por “los datos de los numerales 1 a 15 que tenga registrados”.</t>
  </si>
  <si>
    <t xml:space="preserve">Docente: c1 y c2; anexo, numerales 1 a 15</t>
  </si>
  <si>
    <t xml:space="preserve">Escenario 7 choca con HU-004, que no guarda un paciente sin sus datos obligatorios. Cambiarlo por: paciente con datos opcionales vacíos; el sistema entrega lo registrado y muestra vacíos los opcionales.</t>
  </si>
  <si>
    <t xml:space="preserve">Decir quién puede consultar: el auxiliar de admisión y el médico tratante (D-04).</t>
  </si>
  <si>
    <t xml:space="preserve">V-01, V-05, V-11, V-13</t>
  </si>
  <si>
    <t xml:space="preserve">Escenarios 3 a 6 se quedan.</t>
  </si>
  <si>
    <t xml:space="preserve">Numeral 2.1</t>
  </si>
  <si>
    <t xml:space="preserve">Separar dos cosas: actualizar un dato que cambió y corregir un error. La corrección guarda el dato anterior y el nuevo, la fecha, la hora, el nombre y la identificación de quien corrige (artículo 10, parágrafo 2). Escenario 2: agregar la hora y la identificación.</t>
  </si>
  <si>
    <t xml:space="preserve">Decir qué datos se pueden editar: los de HU-004, con las mismas reglas de su numeral.</t>
  </si>
  <si>
    <t xml:space="preserve">Escenario 7: decir cuáles datos son obligatorios (D-19).</t>
  </si>
  <si>
    <t xml:space="preserve">V-01, V-08, V-11, V-13</t>
  </si>
  <si>
    <t xml:space="preserve">Escenarios 3 a 6 se quedan: ciudad y ocupación siguen como reglas del paciente.</t>
  </si>
  <si>
    <t xml:space="preserve">Reglas: listar los datos de la atención con su nombre y su numeral (16 a 23): prestador, fecha y hora de inicio, modalidad, grupo de servicios, entorno, vía de ingreso, causa, triage cuando corresponda, diagnóstico principal, enfermedad huérfana si la hay y tipo de diagnóstico. Cada dato se valida con el formato de su numeral.</t>
  </si>
  <si>
    <t xml:space="preserve">Docente: c2; anexo, numerales 16 a 23</t>
  </si>
  <si>
    <t xml:space="preserve">Aplicado en borrador T2</t>
  </si>
  <si>
    <t xml:space="preserve">Escenario nuevo: un dato que no cumple su numeral se rechaza y el sistema dice cuál es. Escenario nuevo: un valor que no está en su catálogo (modalidad, vía, causa, diagnóstico, enfermedad huérfana) se rechaza.</t>
  </si>
  <si>
    <t xml:space="preserve">Anexo, numerales 16 a 23</t>
  </si>
  <si>
    <t xml:space="preserve">Escenario 11: cambiar “aplica el criterio que el equipo haya definido” por un resultado: un código de 3 caracteres se rechaza, porque el numeral 23 pide 4 (D-22).</t>
  </si>
  <si>
    <t xml:space="preserve">Docente: c1 y c2; anexo, numeral 23</t>
  </si>
  <si>
    <t xml:space="preserve">Escenario 10: decir en qué estado queda la atención sin terminar y cómo se termina (D-08).</t>
  </si>
  <si>
    <t xml:space="preserve">Decir cuáles datos de la atención son obligatorios (D-15) y cuándo se pide el triage (D-13).</t>
  </si>
  <si>
    <t xml:space="preserve">Decir qué versión del CIE-10 se usa en las pruebas (D-09).</t>
  </si>
  <si>
    <t xml:space="preserve">Escenario 1: entregar todos los datos de la atención (numerales 16 a 23), con el diagnóstico principal y su tipo, no solo fecha y diagnóstico.</t>
  </si>
  <si>
    <t xml:space="preserve">Escenario 2: decir el orden. Propuesta: de la más reciente a la más antigua.</t>
  </si>
  <si>
    <t xml:space="preserve">Precondición “al menos una atención”: quitarla, porque el escenario 3 es un paciente sin atenciones.</t>
  </si>
  <si>
    <t xml:space="preserve">Escenario 5 (varios diagnósticos): cambiarlo. El numeral 23 pide un diagnóstico principal.</t>
  </si>
  <si>
    <t xml:space="preserve">Anexo, numeral 23</t>
  </si>
  <si>
    <t xml:space="preserve">Escenario 6: el historial muestra el valor anterior y el vigente con fecha, hora, nombre e identificación de quien corrigió. El mockup muestra cómo se ve.</t>
  </si>
  <si>
    <t xml:space="preserve">Decir quién puede consultar (D-04).</t>
  </si>
  <si>
    <t xml:space="preserve">Escenarios 2 y 8: guardar el valor anterior y el nuevo, la fecha, la hora, el nombre y la identificación de quien corrige. Hoy el escenario 8 solo pide la identificación.</t>
  </si>
  <si>
    <t xml:space="preserve">Docente: c1 y c2; Res. 866, art. 10, parágrafo 2</t>
  </si>
  <si>
    <t xml:space="preserve">Decir qué datos se pueden modificar: los de HU-007, con las reglas de su numeral, incluidos el diagnóstico principal y su tipo.</t>
  </si>
  <si>
    <t xml:space="preserve">Escenario nuevo: cambiar el diagnóstico por un código de 3 caracteres se rechaza, igual que en HU-007 (D-22). Escenario 4: el código debe estar en la versión adoptada (D-09).</t>
  </si>
  <si>
    <t xml:space="preserve">Docente: c1; anexo, numeral 23</t>
  </si>
  <si>
    <t xml:space="preserve">Valor de negocio: quitar “si no está registrada al momento en que se necesita, no existe”. Que no haya registro en el sistema no prueba que el paciente no se haya opuesto.</t>
  </si>
  <si>
    <t xml:space="preserve">Aplicado en borrador T3</t>
  </si>
  <si>
    <t xml:space="preserve">Datos: los dos del numeral 8: Sí o No, y la fecha en que se firmó el documento. Escenario 4: cambiar “la fecha en que se manifestó” por la fecha del documento. Escenario 9: la manifestación es obligatoria; la fecha, cuando es Sí. Con No no hay documento de oposición y la fecha no se pide (inferencia del equipo por la definición del numeral 8).</t>
  </si>
  <si>
    <t xml:space="preserve">Docente: c1 y c2; anexo, numeral 8</t>
  </si>
  <si>
    <t xml:space="preserve">Distinguir tres casos: Sí, No y sin registro. Sin registro no es No; el escenario 3 ya lo dice y se queda.</t>
  </si>
  <si>
    <t xml:space="preserve">Escenario 10: escribirlo como algo que se ve: la oposición se registra y se consulta aparte de los datos del paciente, sin cambiarlos.</t>
  </si>
  <si>
    <t xml:space="preserve">Escenario 5: decir qué muestra el historial y cómo se ve cuál es la vigente, cuál la anterior y cuál la anulada.</t>
  </si>
  <si>
    <t xml:space="preserve">La fecha que se muestra es la del documento (numeral 8). Escenario 2: cambiar “informa que no existe” por “informa que no hay registro”; no tener registro no quiere decir que el paciente no haya manifestado nada.</t>
  </si>
  <si>
    <t xml:space="preserve">Docente: c2; anexo, numeral 8</t>
  </si>
  <si>
    <t xml:space="preserve">Escenario nuevo: cambio de No a Sí. Hoy solo está el de Sí a No.</t>
  </si>
  <si>
    <t xml:space="preserve">Escenario 2: mostrar también quién registró la manifestación anterior.</t>
  </si>
  <si>
    <t xml:space="preserve">Separar dos casos: el paciente cambió de voluntad (trae la fecha del documento nuevo, numeral 8) y alguien corrige un error (guarda fecha, hora, nombre e identificación de quien corrige). Los dos guardan versiones.</t>
  </si>
  <si>
    <t xml:space="preserve">Descripción: esta historia es para anular un registro hecho por error. Cambiar la voluntad del paciente va por HU-012. Anular un registro no revoca la voluntad del paciente.</t>
  </si>
  <si>
    <t xml:space="preserve">Al anular: pedir el motivo y guardar fecha, hora y quién anuló. El registro queda como anulado y se sigue viendo en el historial (D-20). Decir quién puede anular.</t>
  </si>
  <si>
    <t xml:space="preserve">Docente: c2; D-20</t>
  </si>
  <si>
    <t xml:space="preserve">Mockup: el aviso de confirmación, los mensajes y cómo se ve el registro anulado en el historial.</t>
  </si>
  <si>
    <t xml:space="preserve">Datos: los tres del numeral 9: si tiene documento (Sí o No), la fecha (de firma, cambio, reemplazo o revocación) y el código del prestador donde está, cada uno con el formato de su numeral.</t>
  </si>
  <si>
    <t xml:space="preserve">Docente: c1 y c2; anexo, numeral 9</t>
  </si>
  <si>
    <t xml:space="preserve">Escenarios 2 y 9: si el paciente dice que no tiene documento, no se piden la fecha ni el prestador.</t>
  </si>
  <si>
    <t xml:space="preserve">Distinguir tres casos: tiene documento, no tiene, y no se sabe (sin registro).</t>
  </si>
  <si>
    <t xml:space="preserve">Código del prestador: formato del numeral 9. Si sale de un catálogo lo decide D-05.</t>
  </si>
  <si>
    <t xml:space="preserve">Docente: c1 y c2; D-05</t>
  </si>
  <si>
    <t xml:space="preserve">Escenario 10: escribirlo como algo que se ve, igual que en HU-010.</t>
  </si>
  <si>
    <t xml:space="preserve">Escenario nuevo: consultar a un paciente que dijo que no tiene documento. Se ve distinto de “no se ha preguntado” y de “registro anulado”.</t>
  </si>
  <si>
    <t xml:space="preserve">Mostrar el registro vigente y sus cambios (cambio, reemplazo, revocación) con fecha y prestador. Sin dato no quiere decir que el documento no exista.</t>
  </si>
  <si>
    <t xml:space="preserve">Docente: c2; anexo, numeral 9</t>
  </si>
  <si>
    <t xml:space="preserve">Escenarios nuevos para cada evento del numeral 9: cambio, reemplazo y revocación, cada uno con su fecha. Revocar es una actualización: cierra el pendiente 2 de la tanda 3.</t>
  </si>
  <si>
    <t xml:space="preserve">Escenario 2: mostrar también quién registró el anterior. Guardar fecha, hora, nombre e identificación de quien corrige.</t>
  </si>
  <si>
    <t xml:space="preserve">Escenario 9: decir cuáles datos son obligatorios.</t>
  </si>
  <si>
    <t xml:space="preserve">Descripción: esta historia es para anular un registro hecho por error. Revocar el documento va por HU-016.</t>
  </si>
  <si>
    <t xml:space="preserve">Al anular: motivo, fecha, hora y quién. El registro queda anulado en el historial (D-20). Sin registro vigente no prueba que el documento no exista.</t>
  </si>
  <si>
    <t xml:space="preserve">Mockup: el aviso de anulación, el estado sin registro vigente y cómo se consulta el historial.</t>
  </si>
  <si>
    <t xml:space="preserve">La carga se queda y se precisa; el docente la da por funcional (“Carga de países funcional”) y pide definir el formato de importación: archivo oficial de la norma ISO 3166-1 con código y nombre, un país ya existe si tiene el mismo código, y el sistema informa los valores rechazados y por qué. Crear un país suelto queda como escenario aparte.</t>
  </si>
  <si>
    <t xml:space="preserve">Aplicado en borrador T4</t>
  </si>
  <si>
    <t xml:space="preserve">El código y el nombre se revisan contra la norma ISO 3166-1, no solo por longitud (D-03, D-21). Un país ya existe si tiene el mismo código.</t>
  </si>
  <si>
    <t xml:space="preserve">Docente: c1 y c2; anexo, numeral 1</t>
  </si>
  <si>
    <t xml:space="preserve">Enlazar o copiar RC-1, RC-3 y RC-5.</t>
  </si>
  <si>
    <t xml:space="preserve">Escenario 3: decir si la búsqueda por nombre es exacta o parcial y qué pasa si hay varios resultados (D-23).</t>
  </si>
  <si>
    <t xml:space="preserve">Escenario 5: contar los valores no prueba que el catálogo esté completo. Decir la fuente y la versión (D-21).</t>
  </si>
  <si>
    <t xml:space="preserve">Escenario 6: “quién cargó” pasa a “quién creó”. Escenario 10: “eliminados” pasa a “inactivos” (D-20). Enlazar o copiar RC-1 y RC-2.</t>
  </si>
  <si>
    <t xml:space="preserve">Docente: c1; D-20</t>
  </si>
  <si>
    <t xml:space="preserve">Escenario nuevo: cambio de código exitoso. Los pacientes que tenían ese país lo conservan como estaba: no se cambia una nacionalidad o residencia ya registrada.</t>
  </si>
  <si>
    <t xml:space="preserve">Solo se actualiza por un cambio oficial de la norma ISO 3166-1, con su versión (D-21). Enlazar o copiar RC-1, RC-3 y RC-5.</t>
  </si>
  <si>
    <t xml:space="preserve">Docente: c1 y c2; Res. 866, art. 7</t>
  </si>
  <si>
    <t xml:space="preserve">Eliminar pasa a inactivar (D-20): se pide el motivo y se guarda quién y cuándo; un país oficial no se inactiva sin motivo; se puede reactivar (escenario 10: “lo carga de nuevo” pasa a “lo reactiva”).</t>
  </si>
  <si>
    <t xml:space="preserve">Escenario 2 (país en uso): el docente lo valora. Con D-20 el país en uso no se borra: el sistema dice cuántos registros lo usan, pide el motivo, y esos registros lo conservan. Mockup: ese aviso con la cantidad.</t>
  </si>
  <si>
    <t xml:space="preserve">Docente: c1 y c2; RC-4</t>
  </si>
  <si>
    <t xml:space="preserve">Enlazar o copiar RC-1, RC-4 y RC-5.</t>
  </si>
  <si>
    <t xml:space="preserve">“No es una funcionalidad, no explica como se deben cargar los valores” (comentario 1); en el 3 pide precisar el formato de archivo o formulario, los campos código, nombre y padre, la clave de duplicado y el tratamiento de padre e hija en el mismo lote; en el 4 la da por funcional. La carga se queda y se precisa: archivo oficial CIUO-88 A.C. con código y nombre; el padre se lee del código (D-26: 2221 está bajo 222); duplicado por código; una hija se acepta si su grupo ya está en el catálogo o se acepta en el mismo archivo, sin importar el orden de las filas; el sistema informa los rechazados.</t>
  </si>
  <si>
    <t xml:space="preserve">Docente: c1, c3 y c4</t>
  </si>
  <si>
    <t xml:space="preserve">“yo en la IPS no tengo ningun responsable en mi organización”: el cargo tiene que existir en la IPS (D-02).</t>
  </si>
  <si>
    <t xml:space="preserve">Docente: c2 y c4</t>
  </si>
  <si>
    <t xml:space="preserve">Los códigos se revisan contra la CIUO-88 A.C. Una ocupación ya existe si tiene el mismo código. Las de primer nivel no tienen padre; una hija necesita que su padre exista (el escenario 4 se queda).</t>
  </si>
  <si>
    <t xml:space="preserve">Docente: c3 y c4; anexo, numeral 7</t>
  </si>
  <si>
    <t xml:space="preserve">Enlazar o copiar RC-1, RC-3 y RC-5. Escenario nuevo, por coherencia con las demás: un cargo con sesión y sin permiso no puede crear.</t>
  </si>
  <si>
    <t xml:space="preserve">Docente: c3; propuesta del modelo</t>
  </si>
  <si>
    <t xml:space="preserve">Escenario 5: búsqueda exacta o parcial (D-23) y qué pasa si la ocupación no existe.</t>
  </si>
  <si>
    <t xml:space="preserve">Decir la fuente y la versión (D-21). El escenario 6 (padre sin hijas) sirve para ver ramas incompletas y se queda. Escenario 7: “quién cargó” pasa a “quién creó”. Escenario 10: inactivas (D-20).</t>
  </si>
  <si>
    <t xml:space="preserve">Enlazar o copiar RC-1 y RC-2.</t>
  </si>
  <si>
    <t xml:space="preserve">Escenarios nuevos: un padre que no existe se rechaza; un cambio que vuelva a una ocupación padre de su propio padre se rechaza (ciclo); un cargo con sesión y sin permiso no puede actualizar.</t>
  </si>
  <si>
    <t xml:space="preserve">Solo por cambio oficial de la CIUO-88 A.C. (D-21). Los pacientes conservan la ocupación que tenían. Enlazar o copiar RC-1, RC-3 y RC-5.</t>
  </si>
  <si>
    <t xml:space="preserve">Eliminar pasa a inactivar (D-20): motivo, quién y cuándo; se puede reactivar (escenario 10). Escenario 2 como en HU-021. El escenario 3 se queda: no se inactiva un padre con hijas activas.</t>
  </si>
  <si>
    <t xml:space="preserve">Escenario nuevo: un cargo con sesión y sin permiso no puede inactivar. No tener sesión (escenario 9) no cubre ese caso. Enlazar o copiar RC-1, RC-4 y RC-5.</t>
  </si>
  <si>
    <t xml:space="preserve">La carga se queda y se precisa (el docente la da por funcional y pide el formato de importación): archivo oficial DIVIPOLA con código, nombre y departamento; duplicado por código; el sistema informa los rechazados.</t>
  </si>
  <si>
    <t xml:space="preserve">Escenario 6: el código tiene 5 caracteres, como dice el numeral 12, y se guarda con el cero inicial (Medellín, 05001). Nombre, código y departamento deben coincidir con DIVIPOLA.</t>
  </si>
  <si>
    <t xml:space="preserve">Docente: c1 y c2; anexo, numeral 12</t>
  </si>
  <si>
    <t xml:space="preserve">Escenario nuevo: un cargo con sesión y sin permiso no puede crear. Enlazar o copiar RC-1, RC-3 y RC-5.</t>
  </si>
  <si>
    <t xml:space="preserve">Mostrar el departamento para distinguir municipios con el mismo nombre. Escenarios 4 y 5: búsqueda exacta o parcial (D-23).</t>
  </si>
  <si>
    <t xml:space="preserve">Filtro de activos e inactivos (D-20). Escenario 7: “quién cargó” pasa a “quién creó”. Elegir la ciudad del paciente sigue en HU-004 y HU-006. Enlazar o copiar RC-1 y RC-2.</t>
  </si>
  <si>
    <t xml:space="preserve">Docente: c1 y c2; D-20</t>
  </si>
  <si>
    <t xml:space="preserve">Escenario 3 (cambiar el código DANE): no se cambia el código de los pacientes. El código viejo se inactiva y el nuevo se crea, con la versión de DIVIPOLA (D-20, D-21). La residencia ya registrada no cambia.</t>
  </si>
  <si>
    <t xml:space="preserve">Escenario 5: el formato es el del numeral 12 (5 caracteres con el cero inicial). Escenario nuevo: un cargo con sesión y sin permiso no puede actualizar. Enlazar o copiar RC-1, RC-3 y RC-5.</t>
  </si>
  <si>
    <t xml:space="preserve">Eliminar pasa a inactivar (D-20): motivo, quién y cuándo; se puede reactivar. Escenario 2 como en HU-021. Mockup: el aviso con la cantidad de registros y el historial.</t>
  </si>
  <si>
    <t xml:space="preserve">La carga se queda y se precisa (el docente la da por funcional y pide el formato de importación y el orden padre e hijo): archivo oficial de la versión adoptada del CIE-10 (D-09) con código y nombre; la categoría se lee de los 3 primeros caracteres (D-26), sin importar el orden de las filas; el sistema informa los rechazados.</t>
  </si>
  <si>
    <t xml:space="preserve">Aplicado en borrador T5</t>
  </si>
  <si>
    <t xml:space="preserve">Escenario 5: decir qué versión es y cómo se comprueba que es la pedida (D-09). Decir cuáles son las raíces: los códigos de primer nivel no tienen padre. A una atención solo se asocian códigos de 4 caracteres (numeral 23, D-22).</t>
  </si>
  <si>
    <t xml:space="preserve">Escenario 4 (código padre): resultado concreto con D-22: un código de 3 caracteres no se puede elegir para una atención. Escenarios nuevos: búsqueda sin resultados y códigos inactivos (D-23, D-20).</t>
  </si>
  <si>
    <t xml:space="preserve">Retro HU-031, no está en la exportación del 19 oct; anexo, numeral 23</t>
  </si>
  <si>
    <t xml:space="preserve">Solo por cambio oficial, con su versión. Escenario 3 (versión nueva): los códigos que la versión retira se inactivan, no se borran (D-20). Escenario nuevo: un cargo con sesión y sin permiso no puede actualizar.</t>
  </si>
  <si>
    <t xml:space="preserve">Res. 866, art. 7; D-20; propuesta del modelo</t>
  </si>
  <si>
    <t xml:space="preserve">Eliminar pasa a inactivar (D-20): motivo, quién y cuándo; se puede reactivar. Escenario 2 como en HU-021. El escenario 3 se queda: no se inactiva un código padre con hijos activos. Escenario nuevo: un cargo con sesión y sin permiso no puede inactivar.</t>
  </si>
  <si>
    <t xml:space="preserve">Retro HU-033, no está en la exportación del 19 oct; D-20</t>
  </si>
  <si>
    <t xml:space="preserve">ID reservado</t>
  </si>
  <si>
    <t xml:space="preserve">Sale de la fila de validación</t>
  </si>
  <si>
    <t xml:space="preserve">Elemento del anexo</t>
  </si>
  <si>
    <t xml:space="preserve">Título propuesto</t>
  </si>
  <si>
    <t xml:space="preserve">Libre</t>
  </si>
  <si>
    <t xml:space="preserve">HU-044</t>
  </si>
  <si>
    <t xml:space="preserve">HU-045</t>
  </si>
  <si>
    <t xml:space="preserve">HU-046</t>
  </si>
  <si>
    <t xml:space="preserve">HU-047</t>
  </si>
  <si>
    <t xml:space="preserve">HU-048</t>
  </si>
  <si>
    <t xml:space="preserve">HU-049</t>
  </si>
  <si>
    <t xml:space="preserve">HU-050</t>
  </si>
  <si>
    <t xml:space="preserve">HU-051</t>
  </si>
  <si>
    <t xml:space="preserve">HU-052</t>
  </si>
  <si>
    <t xml:space="preserve">HU-053</t>
  </si>
  <si>
    <t xml:space="preserve">HU-054</t>
  </si>
  <si>
    <t xml:space="preserve">HU-055</t>
  </si>
  <si>
    <t xml:space="preserve">HU-056</t>
  </si>
  <si>
    <t xml:space="preserve">HU-057</t>
  </si>
  <si>
    <t xml:space="preserve">HU-058</t>
  </si>
  <si>
    <t xml:space="preserve">HU-059</t>
  </si>
  <si>
    <t xml:space="preserve">HU-060</t>
  </si>
  <si>
    <t xml:space="preserve">HU-061</t>
  </si>
  <si>
    <t xml:space="preserve">HU-062</t>
  </si>
  <si>
    <t xml:space="preserve">HU-063</t>
  </si>
  <si>
    <t xml:space="preserve">HU-064</t>
  </si>
  <si>
    <t xml:space="preserve">HU-065</t>
  </si>
  <si>
    <t xml:space="preserve">HU-066</t>
  </si>
  <si>
    <t xml:space="preserve">HU-067</t>
  </si>
  <si>
    <t xml:space="preserve">HU-068</t>
  </si>
  <si>
    <t xml:space="preserve">HU-069</t>
  </si>
  <si>
    <t xml:space="preserve">HU-070</t>
  </si>
  <si>
    <t xml:space="preserve">HU-071</t>
  </si>
  <si>
    <t xml:space="preserve">HU-072</t>
  </si>
  <si>
    <t xml:space="preserve">HU-073</t>
  </si>
  <si>
    <t xml:space="preserve">Decisión</t>
  </si>
  <si>
    <t xml:space="preserve">Afecta a</t>
  </si>
  <si>
    <t xml:space="preserve">Valor acordado</t>
  </si>
  <si>
    <t xml:space="preserve">Estado de la decisión</t>
  </si>
  <si>
    <t xml:space="preserve">Propuesta por</t>
  </si>
  <si>
    <t xml:space="preserve">Observaciones</t>
  </si>
  <si>
    <t xml:space="preserve">D-01</t>
  </si>
  <si>
    <t xml:space="preserve">Umbral del numeral 2.3: cuántas opciones hacen falta para que un campo sea entidad</t>
  </si>
  <si>
    <t xml:space="preserve">Toda la hoja Validación</t>
  </si>
  <si>
    <t xml:space="preserve">Más de 5, según el texto del numeral 2.3</t>
  </si>
  <si>
    <t xml:space="preserve">Pendiente</t>
  </si>
  <si>
    <t xml:space="preserve">Documento del docente</t>
  </si>
  <si>
    <t xml:space="preserve">La revisión General ampliada del docente (2026-10-13, hoja Retroalimentación, fila 3) repite "campos con más de cinco opciones". El estado en E2 lo cambia el equipo. Lo que propongo es “Confirmada por el docente”.</t>
  </si>
  <si>
    <t xml:space="preserve">D-02</t>
  </si>
  <si>
    <t xml:space="preserve">Cargo que mantiene los catálogos, con su función y sus permisos</t>
  </si>
  <si>
    <t xml:space="preserve">HU-003 y todas las de catálogo</t>
  </si>
  <si>
    <t xml:space="preserve">Profesional de estadística de la IPS. Carga los catálogos desde el archivo oficial; crea y cambia valores solo por cambio oficial; inactiva y reactiva; no ve datos de pacientes ni de atenciones, solo cuántos registros usan un valor. Se supone que el área de estadística es la que reporta los datos de la IPS con las tablas oficiales; no hay fuente. El docente pidió un cargo real, no un nombre (HU-022 c2). Pregunta al docente. (Propuesta, 2026-10-20)</t>
  </si>
  <si>
    <t xml:space="preserve">Docente, HU-022 c2: “Esto “responsable de catálogos” no es un rol? quien es responsable de catalogos? yo en la IPS no tengo ningun responsable en mi organización”. El cargo tiene que existir en la IPS. En otras tarjetas sugiere “administrador de catálogos o gestor de datos maestros, validado con el dominio”. Hipótesis del modelo, sin fuente: un cargo que ya maneje los datos que la IPS reporta, como el profesional de estadística o el líder de sistemas de información; confirmar con el docente.</t>
  </si>
  <si>
    <t xml:space="preserve">D-03</t>
  </si>
  <si>
    <t xml:space="preserve">Código ISO 3166-1 de país: alfabético (COL) o numérico (170)</t>
  </si>
  <si>
    <t xml:space="preserve">Países, elementos 1 y 11</t>
  </si>
  <si>
    <t xml:space="preserve">El numérico de 3 dígitos de la ISO 3166-1 (Colombia es 170); una fila con letras en el código se rechaza. El numeral 1 tiene formato 999 y el anexo de la Resolución 1888 de 2025 remite a la tabla Pais de SISPRO; que esa tabla use el numérico se confirma al descargarla. (Propuesta, 2026-10-20)</t>
  </si>
  <si>
    <t xml:space="preserve">D-04</t>
  </si>
  <si>
    <t xml:space="preserve">Inicio de sesión: una historia o una por cargo</t>
  </si>
  <si>
    <t xml:space="preserve">Una sola historia (HU-001) con permisos por cargo en los escenarios. (Propuesta, 2026-10-20)</t>
  </si>
  <si>
    <t xml:space="preserve">El docente pide justificar la separación de los accesos por resultados distintos de negocio (HU-001 c2, HU-002 c2, HU-003 c2).</t>
  </si>
  <si>
    <t xml:space="preserve">Prestador como catálogo propio</t>
  </si>
  <si>
    <t xml:space="preserve">Elementos 9 y 16</t>
  </si>
  <si>
    <t xml:space="preserve">La IPS se trata como un solo prestador con una sede, porque la guía no menciona sedes. El equipo técnico deja su código de 12 caracteres configurado al instalar y el sistema lo pone en cada atención. No hay catálogo de prestadores. El prestador donde está la voluntad anticipada (numeral 9) se escribe y se valida por formato. (Propuesta, 2026-10-20)</t>
  </si>
  <si>
    <t xml:space="preserve">Hoja 16: código del REPS publicado en SISPRO (12 caracteres); hoja 14: código del prestador donde reposa la voluntad anticipada, mismo formato. Para una sola IPS, el prestador que realiza la atención puede ser fijo (sus sedes); el del elemento 9 puede ser cualquier prestador del país. V-18 queda bloqueada hasta esta decisión.</t>
  </si>
  <si>
    <t xml:space="preserve">D-06</t>
  </si>
  <si>
    <t xml:space="preserve">Tiempo de inactividad que cierra la sesión</t>
  </si>
  <si>
    <t xml:space="preserve">HU-001, escenario 12 (en el backlog anterior, HU-001 a HU-003, escenario 10)</t>
  </si>
  <si>
    <t xml:space="preserve">15 minutos sin actividad. (Propuesta, 2026-10-20)</t>
  </si>
  <si>
    <t xml:space="preserve">D-07</t>
  </si>
  <si>
    <t xml:space="preserve">Clave que identifica a un paciente duplicado</t>
  </si>
  <si>
    <t xml:space="preserve">HU-004, escenario 12 (en el backlog anterior, escenario 11)</t>
  </si>
  <si>
    <t xml:space="preserve">Tipo y número de documento, como sugiere el docente en HU-004. (Propuesta, 2026-10-20)</t>
  </si>
  <si>
    <t xml:space="preserve">La retroalimentación de HU-004 sugiere tipo y número de documento. Sirve también para responder por qué dato se busca a un paciente (HU-005).</t>
  </si>
  <si>
    <t xml:space="preserve">D-08</t>
  </si>
  <si>
    <t xml:space="preserve">Estado de una atención que no se terminó de registrar</t>
  </si>
  <si>
    <t xml:space="preserve">HU-007, escenarios 11 a 13 (en el backlog anterior, escenario 10)</t>
  </si>
  <si>
    <t xml:space="preserve">Dos estados: Borrador (le falta algo) y Registrada (completa). El borrador se completa en HU-007; la atención registrada se corrige en HU-009. (Propuesta, 2026-10-20)</t>
  </si>
  <si>
    <t xml:space="preserve">Docente, HU-007 c2: “definir estado y finalización del borrador del escenario 10”.</t>
  </si>
  <si>
    <t xml:space="preserve">D-09</t>
  </si>
  <si>
    <t xml:space="preserve">Versión del CIE-10 que se usa en las pruebas</t>
  </si>
  <si>
    <t xml:space="preserve">HU-007 y catálogo de diagnósticos</t>
  </si>
  <si>
    <t xml:space="preserve">La tabla CIE10 de SISPRO, en la versión vigente el día de la carga (HU-030). La carga guarda la dirección y la fecha de descarga (RC-8). El anexo de la Resolución 1888 de 2025 remite a esa tabla y dice que la transición al CIE-11 se amplió; la Resolución 2625 de 2025 cita la 1895 de 2001 como la que adoptó la CIE-10 (por confirmar). (Propuesta, 2026-10-20)</t>
  </si>
  <si>
    <t xml:space="preserve">D-10</t>
  </si>
  <si>
    <t xml:space="preserve">Incremento del sprint 1 en consola o en web, confirmado por el docente</t>
  </si>
  <si>
    <t xml:space="preserve">Sprint 1</t>
  </si>
  <si>
    <t xml:space="preserve">Aplicación web: la guía dice “desarrollar una aplicación web” (sección 2). Confirmar con el docente qué debe mostrar el incremento del sprint 1. (Propuesta, 2026-10-20)</t>
  </si>
  <si>
    <t xml:space="preserve">D-11</t>
  </si>
  <si>
    <t xml:space="preserve">Qué acepta el docente como mockup</t>
  </si>
  <si>
    <t xml:space="preserve">Todas las historias</t>
  </si>
  <si>
    <t xml:space="preserve">Una imagen PNG por historia, pegada en la tarjeta, con la pantalla y sus estados principales, ligada a los escenarios. Se dibujan como maquetas HTML y se exportan a imagen (fase 3). Si el docente pide otra herramienta, se rehacen. (Propuesta, 2026-10-20)</t>
  </si>
  <si>
    <t xml:space="preserve">D-12</t>
  </si>
  <si>
    <t xml:space="preserve">Escala de estimación</t>
  </si>
  <si>
    <t xml:space="preserve">Puntos de historia con la serie 1, 2, 3, 5, 8, 13, estimados en clase con planning poker; si no se hace en clase, con video de todo el equipo (guía 2.5). La estimación no la hace el modelo. (Propuesta, 2026-10-20)</t>
  </si>
  <si>
    <t xml:space="preserve">D-13</t>
  </si>
  <si>
    <t xml:space="preserve">Cuándo se exige el triage en una atención</t>
  </si>
  <si>
    <t xml:space="preserve">V-25, HU-007 a HU-009</t>
  </si>
  <si>
    <t xml:space="preserve">Se pide cuando el grupo de servicios es 05 Atención inmediata: el anexo define el triage para un servicio de urgencias (hojas 17 y 18). Salvedad: ese grupo también incluye servicios que no son de urgencias, como la atención del parto, según el manual de habilitación del Ministerio (por confirmar). Pregunta al docente. (Propuesta, 2026-10-20)</t>
  </si>
  <si>
    <t xml:space="preserve">Hoja del PDF del anexo</t>
  </si>
  <si>
    <t xml:space="preserve">Las hojas 17 y 18 lo definen para un servicio de urgencias; la revisión ampliada de HU-007 dice “triage cuando corresponda”. Ningún elemento del 16 al 23 dice por sí solo que una atención es de urgencias.</t>
  </si>
  <si>
    <t xml:space="preserve">D-14</t>
  </si>
  <si>
    <t xml:space="preserve">Catálogo de enfermedades huérfanas: fuente y versión</t>
  </si>
  <si>
    <t xml:space="preserve">El listado de enfermedades huérfanas de la Resolución 2625 de 2025 del Ministerio de Salud, versión 5.0, que derogó la 023 de 2023. El código es el número que el listado da a cada enfermedad, que no se reasigna (artículo 3); que ese número sea el código de 1 a 4 caracteres del numeral 23 es inferencia del equipo. (Propuesta, 2026-10-20)</t>
  </si>
  <si>
    <t xml:space="preserve">La hoja 18 dice “catálogo de enfermedades huérfanas vigente” sin nombrar cuál.</t>
  </si>
  <si>
    <t xml:space="preserve">D-15</t>
  </si>
  <si>
    <t xml:space="preserve">Datos obligatorios de la atención</t>
  </si>
  <si>
    <t xml:space="preserve">V-18 a V-28, HU-007 y HU-009</t>
  </si>
  <si>
    <t xml:space="preserve">Columna “¿Obligatorio?” de la lista de datos de HU-007 (tanda 2 del backlog v3). (Propuesta, 2026-10-20)</t>
  </si>
  <si>
    <t xml:space="preserve">Retroalimentación del docente</t>
  </si>
  <si>
    <t xml:space="preserve">Las hojas 13 a 18 no tienen columna de obligatoriedad. La revisión de HU-007 pide “detallar los campos obligatorios de la atención”. HU-004 tiene el mismo vacío para el paciente.</t>
  </si>
  <si>
    <t xml:space="preserve">D-16</t>
  </si>
  <si>
    <t xml:space="preserve">Alcance de la primera fase: elementos 1 a 23 (grupos 1 y 2 del anexo) o 1 a 49</t>
  </si>
  <si>
    <t xml:space="preserve">Todo el tablero y la hoja Por redactar</t>
  </si>
  <si>
    <t xml:space="preserve">Se asume 1 a 23 (grupos 1 y 2 del anexo) mientras el docente no diga otra cosa; el plan B, para 1 a 49, está listo. Pregunta al docente. (Propuesta, 2026-10-20)</t>
  </si>
  <si>
    <t xml:space="preserve">La guía no dice 23. A favor: “en una primera fase” y los dos módulos (página 1); el título del grupo de la hoja 16 es el nombre del segundo módulo; la revisión ampliada de HU-007 enumera los datos del 16 al 23. En contra: la revisión General pide “cobertura de todos los catálogos para campos con más de cinco opciones” sin límite; el artículo 13.2 de la Resolución 866 asocia el contacto con tecnologías en salud. Preguntar al docente por Teams. Del 24 al 49 salen 6 listas de más de 5 valores y entre 9 y 17 catálogos externos (hoja Anexo 1 a 49): entre 60 y 92 historias más con una por operación.</t>
  </si>
  <si>
    <t xml:space="preserve">D-17</t>
  </si>
  <si>
    <t xml:space="preserve">Historias por entidad de catálogo: una por operación del CRUD (4) o una por entidad</t>
  </si>
  <si>
    <t xml:space="preserve">Hoja Por redactar; HU-010 a HU-033</t>
  </si>
  <si>
    <t xml:space="preserve">Una historia por catálogo, también en el CIE-10 (HU-030); la búsqueda del médico va aparte por actor (HU-031). Operaciones separadas solo en oposición y voluntad anticipada (2.1) y en la atención (registrar, consultar, corregir, anular). Backlog v3: 30 historias. (Propuesta, 2026-10-20)</t>
  </si>
  <si>
    <t xml:space="preserve">El numeral 2.3 escribe “Create, Read, Update, Delete”. El Prompt 2 del docente dice “No dividas historias únicamente por: [...] Operaciones de base de datos”. Testimonio del profesor, sin texto escrito: cada parte del CRUD puede ser una historia. Con todo el CRUD comprimido el backlog queda por debajo de 30 (numeral 2.5). Mientras esté pendiente, no se reservan IDs en Por redactar.</t>
  </si>
  <si>
    <t xml:space="preserve">D-18</t>
  </si>
  <si>
    <t xml:space="preserve">Cómo se guardan los componentes del anexo</t>
  </si>
  <si>
    <t xml:space="preserve">Todas las filas de Validación y sus escenarios</t>
  </si>
  <si>
    <t xml:space="preserve">Cada componente con el tipo de la columna Tipo de la hoja: Alfanumérico como texto de la longitud indicada, Numérico como entero, Fecha como fecha y hora.</t>
  </si>
  <si>
    <t xml:space="preserve">Ejemplos: elemento 12, Medellín 05001, como entero pierde el 0 y queda debajo de la longitud 5; elemento 2, códigos con letras (CC, TI); elemento 46, Numérico “Entre 1 y 999”. Los nombres de las opciones se guardan en la tabla del catálogo; la atención guarda solo el código.</t>
  </si>
  <si>
    <t xml:space="preserve">D-19</t>
  </si>
  <si>
    <t xml:space="preserve">Datos obligatorios del paciente</t>
  </si>
  <si>
    <t xml:space="preserve">V-01 a V-17; HU-004 y HU-006</t>
  </si>
  <si>
    <t xml:space="preserve">Tabla de HU-004 en la tanda 1 del backlog v3: obligatorios los datos que siempre tienen respuesta en su lista (incluidos los valores de no declara, sin discapacidad y ninguna); opcionales el segundo nombre, el segundo apellido y la hora de nacimiento; condicionados la ocupación, el municipio y la comunidad étnica, que se pide solo si el catálogo de HU-037 tiene valores (mientras no lo tenga, el paciente se registra sin ese dato). La identidad de género queda obligatoria porque su lista tiene “No lo declara”; el anexo de la Resolución 1888 de 2025 dice que “es un dato opcional que será diligenciado a criterio del profesional de la salud de acuerdo con el escenario de atención” (pregunta 14 al docente). (Propuesta, 2026-10-20)</t>
  </si>
  <si>
    <t xml:space="preserve">Las hojas 13 a 15 no tienen columna de obligatoriedad. La revisión ampliada de HU-004 pide “Enumerar todos los datos del grupo paciente del anexo, formatos y obligatoriedad”. Caso visible: el segundo nombre y el segundo apellido pueden no existir.</t>
  </si>
  <si>
    <t xml:space="preserve">D-20</t>
  </si>
  <si>
    <t xml:space="preserve">“Eliminar” no borra: en los catálogos se inactiva y en las estructuras separadas se anula</t>
  </si>
  <si>
    <t xml:space="preserve">HU-013, HU-017, HU-021, HU-025, HU-029, HU-033 y las historias nuevas de eliminación</t>
  </si>
  <si>
    <t xml:space="preserve">Nada se borra. Un valor de catálogo se inactiva: deja de ofrecerse para registros nuevos y los registros que ya lo usan lo conservan; una versión nueva de un catálogo oficial inactiva los valores que retira. En la oposición y la voluntad anticipada, un registro hecho por error se anula con motivo y queda en el historial; el docente da por funcional anular (HU-013 c2, HU-017 c2).</t>
  </si>
  <si>
    <t xml:space="preserve">Propuesta del autor (2026-10-20). Apoyo: artículo 7 de la Resolución 866 (los catálogos “no podrán ser modificados, reducidos o adicionados”) y artículo 10 (los datos de las atenciones quedan disponibles de forma permanente). Resuelve lo que RC-4 deja abierto: los registros que usan el valor lo conservan. La revisión ampliada de HU-033 pide “Precisar inactivación/recarga, motivo/autor” (sin verificar en Trello). En contra: el numeral 2.3 escribe “Delete”; confirmar con el docente que la inactivación cuenta como la D del CRUD. Exportación de Trello del 19 oct 2026: HU-021 c2, “precisar inactivación/recarga, motivo y autor, sin retirar valores oficiales arbitrariamente”; HU-029 c2, “precisar inactivación/recarga, motivo/autor y preservar valores oficiales”; HU-025 c2, “precisar vigencia, recarga, motivo/autor e historial”; HU-013 c2, “estado anulado”. El docente también valora el bloqueo de valores en uso (HU-021 c2): con la inactivación, el valor en uso no se borra y sus registros lo conservan.</t>
  </si>
  <si>
    <t xml:space="preserve">D-21</t>
  </si>
  <si>
    <t xml:space="preserve">Fuente y versión de los catálogos externos</t>
  </si>
  <si>
    <t xml:space="preserve">V-01, V-08, V-12, V-13, V-15, V-17, V-18</t>
  </si>
  <si>
    <t xml:space="preserve">Fuentes: la tabla Pais de SISPRO (ISO 3166-1); la CIUO-88 A.C. y la DIVIPOLA del DANE; el catálogo de referencia de comunidades étnicas y el de entidades del Ministerio; las listas del anexo, en su hoja: si el archivo no coincide con la hoja, manda la hoja y se guardan sus códigos y nombres. Formato de carga: CSV UTF-8 separado por punto y coma, con la fuente, la dirección y la fecha de descarga y la fecha de publicación (RC-8). Versión nueva y recarga: RC-9 (el código de una fila rechazada conserva su nombre y su estado). Apoyo: artículo 8 de la Resolución 866, que pone los catálogos a cargo del Ministerio, que definirá el procedimiento para individualizarlos en SISPRO. (Propuesta, 2026-10-20)</t>
  </si>
  <si>
    <t xml:space="preserve">ISO 3166-1, CIUO-88 A.C., DIVIPOLA, comunidades étnicas, entidades del plan de beneficios y REPS. El CIE-10 va en D-09 y las enfermedades huérfanas en D-14. La carga desde el archivo oficial es funcionalidad: el docente la da por funcional (HU-018 c2, HU-022 c4) y pide precisar el formato de importación. Docente: HU-018 c2, “Validar código/nombre contra ISO 3166-1, no solo longitud”; HU-019 c2, “Definir fuente/versión”; HU-022 c3, “Precisar cómo se cargan los valores: formato de archivo o formulario, campos código/nombre/padre, clave de duplicidad y tratamiento de padre e hija en el mismo lote.”</t>
  </si>
  <si>
    <t xml:space="preserve">D-22</t>
  </si>
  <si>
    <t xml:space="preserve">¿Un código padre del CIE-10 se puede asociar a una atención?</t>
  </si>
  <si>
    <t xml:space="preserve">V-26; HU-007 escenario 9, HU-009, HU-030, HU-031 escenario 4</t>
  </si>
  <si>
    <t xml:space="preserve">No. El numeral 23 fija para el código CIE-10 longitud 4 y 4, así que un código de 3 caracteres se rechaza. El código de enfermedad huérfana, del mismo numeral, va de 1 a 4.</t>
  </si>
  <si>
    <t xml:space="preserve">El docente pide resultado concreto (HU-007 c1 y c2, HU-009 c1). Una categoría de 3 caracteres sin subdivisiones se escribe con X al final (por ejemplo I10X), de modo que todo diagnóstico asociable tiene 4: así aparecen en el listado de la Resolución 2625 de 2025 (D71X, D67X; revisión de la tanda 5). Se confirma con la tabla CIE10 de SISPRO (D-09).</t>
  </si>
  <si>
    <t xml:space="preserve">D-23</t>
  </si>
  <si>
    <t xml:space="preserve">Búsqueda en los catálogos: exacta o parcial</t>
  </si>
  <si>
    <t xml:space="preserve">HU-019, HU-023, HU-027, HU-031</t>
  </si>
  <si>
    <t xml:space="preserve">Por código, exacta. Por nombre, parcial, sin distinguir mayúsculas ni tildes, y muestra todas las coincidencias.</t>
  </si>
  <si>
    <t xml:space="preserve">El docente lo pide en HU-019 c1, HU-023 c1 y HU-027 c1. Valor propuesto por el modelo.</t>
  </si>
  <si>
    <t xml:space="preserve">D-24</t>
  </si>
  <si>
    <t xml:space="preserve">Ocupación que guarda la atención</t>
  </si>
  <si>
    <t xml:space="preserve">HU-007 a HU-009; numeral 7</t>
  </si>
  <si>
    <t xml:space="preserve">Al crear la atención, el sistema guarda la ocupación que el paciente tiene en ese momento. Si después cambia la del paciente, la atención conserva la suya; si quedó mal, se corrige en HU-009. (Propuesta, 2026-10-20)</t>
  </si>
  <si>
    <t xml:space="preserve">El numeral 7 se llama “Ocupación al momento de la atención” (hoja 14). Inferencia del equipo; la pidió marcar como propuesta la revisión independiente de la tanda 2.</t>
  </si>
  <si>
    <t xml:space="preserve">D-25</t>
  </si>
  <si>
    <t xml:space="preserve">Nombre que muestra un registro cuando el catálogo cambia el nombre de un valor</t>
  </si>
  <si>
    <t xml:space="preserve">RC-11; HU-004 a HU-009 y las historias de catálogo</t>
  </si>
  <si>
    <t xml:space="preserve">Un registro conserva el código y el nombre que tenía el valor el día en que se registró; si después la fuente oficial cambia el nombre, los registros ya hechos no cambian y su consulta muestra también el nombre vigente (RC-11; HU-005 escenario 13, HU-008 escenario 15). (Propuesta, 2026-10-20)</t>
  </si>
  <si>
    <t xml:space="preserve">El anexo trae el nombre como componente del dato en los numerales 1, 7, 11, 12, 15 y 23; en los demás catálogos, conservarlo es decisión del equipo. El artículo 10 obliga a disponer los datos de las atenciones de forma permanente. El docente pidió no reinterpretar lo ya registrado al cambiar un código (HU-020 c2, HU-028 c2); la regla aplica ese criterio al nombre. Lo pidieron decidir las revisiones de las tandas 4 (M5) y 5 (hallazgo 1).</t>
  </si>
  <si>
    <t xml:space="preserve">D-26</t>
  </si>
  <si>
    <t xml:space="preserve">Padre de un valor en los catálogos con niveles (ocupaciones y CIE-10)</t>
  </si>
  <si>
    <t xml:space="preserve">HU-022, HU-030, HU-031; numerales 7 y 23</t>
  </si>
  <si>
    <t xml:space="preserve">El padre se lee del código: en la CIUO-88 A.C., el código de cada ocupación empieza por el de su grupo (2221 está bajo 222); en el CIE-10, la categoría son los 3 primeros caracteres (A000 está bajo A00). El archivo no necesita columna de padre y no puede haber ciclos. La primera carga de la CIUO-88 se compara con las cantidades por nivel del DANE (10, 34, 117 y 401), contando las filas leídas. (Propuesta, 2026-10-20)</t>
  </si>
  <si>
    <t xml:space="preserve">Análisis propio</t>
  </si>
  <si>
    <t xml:space="preserve">En la CIUO-88 A.C. lo confirma el DANE: “integrada en 4 niveles de agregación, identificados mediante códigos numéricos de 1, 2, 3 y 4 dígitos” (documento de 2006). En el CIE-10 es inferencia del equipo; se confirma con la tabla de SISPRO. Si el archivo que se descargue no trae los grupos de la CIUO-88, se cargan antes desde el documento del DANE, como fuente aparte (supuesto de HU-022). Responde HU-022 c3 y c4 y HU-024 c1 y c2 (padre inexistente o ciclo) y las revisiones de las tandas 4 (A2, M2) y 5 (hallazgos 2, 5 y 6).</t>
  </si>
  <si>
    <t xml:space="preserve">D-27</t>
  </si>
  <si>
    <t xml:space="preserve">HU-043; HU-007 a HU-009</t>
  </si>
  <si>
    <t xml:space="preserve">Una atención registrada por error, o un borrador que no debía existir (a nombre del paciente equivocado, repetida o que no ocurrió), se anula con un motivo que es una inconsistencia: queda en estado “Anulada”, no se borra, no se corrige y no se pasa a otro paciente. Las anuladas siguen contando como registros que usan un valor de catálogo. Historia nueva HU-043. (Propuesta, 2026-10-20)</t>
  </si>
  <si>
    <t xml:space="preserve">La guía y el docente no lo mencionan. La versión 2 de la tanda 2 lo dejó pendiente en HU-009; la oposición y la voluntad anticipada tienen su anulación (HU-013, HU-017). Con HU-032 y HU-033 fundidas en HU-030 (revisión de la tanda 5, hallazgo 3), el backlog queda en 30 historias. Pregunta al docente.</t>
  </si>
  <si>
    <t xml:space="preserve">Alcance</t>
  </si>
  <si>
    <t xml:space="preserve">Tipo de revisión</t>
  </si>
  <si>
    <t xml:space="preserve">Texto del docente, como llegó</t>
  </si>
  <si>
    <t xml:space="preserve">Compartida en el chat</t>
  </si>
  <si>
    <t xml:space="preserve">Primera revisión</t>
  </si>
  <si>
    <t xml:space="preserve">* Lo bueno: todas tienen estructura «Como / Quiero / Para» y criterios BDD. Cubren casos exitosos, errores, permisos y trazabilidad.
* Lo malo: ninguna tiene mockup; 17 usan «responsable de catálogos», que requiere un cargo funcional real. Hay criterios ambiguos o pendientes y todas tienen estimación en 0.</t>
  </si>
  <si>
    <t xml:space="preserve">2026-10-13</t>
  </si>
  <si>
    <t xml:space="preserve">Verificado contra captura de Trello: descripción de la tarjeta “NOTA REVISIÓN HU 3,0 / 5.”.</t>
  </si>
  <si>
    <t xml:space="preserve">Revisión ampliada</t>
  </si>
  <si>
    <t xml:space="preserve">Lo bueno: estructura Como/Quiero/Para y CA BDD presentes; operaciones funcionales de pacientes, contacto clínico y catálogos, roles auxiliar de admisión y médico tratante, reglas de integridad e historial.
Lo malo: faltan mockups en las 33 HU; 17 usan responsable de catálogos sin cargo funcional real; estimaciones en 0 sin sustento; campos del anexo y varios resultados BDD por precisar. Falta demostrar cobertura de todos los catálogos para campos con más de cinco opciones. Ciudad/código DANE deben quedar como CA de registro/actualización del paciente; gestionar catálogo de municipios sí es funcionalidad.
Se mantiene la revisión de estructura y BDD, los CA originales y comentarios previos. Proyecto de Clase y Resolución 866 de 2021 son las referencias de esta ampliación.</t>
  </si>
  <si>
    <t xml:space="preserve">Verificado contra captura de Trello: comentario del 2026-10-11, tarjeta “NOTA REVISIÓN HU 3,0 / 5.”. La nota de la tarjeta es 3,0 sobre 5.</t>
  </si>
  <si>
    <t xml:space="preserve">Revisión</t>
  </si>
  <si>
    <t xml:space="preserve">Revisión HU-001: cumple la estructura Como/Quiero/Para, tiene un rol funcional válido (auxiliar de admisión) y 10 escenarios BDD Dado/Cuando/Entonces. Falta adjuntar o enlazar una imagen de mockup de la pantalla de acceso y sus estados de error. En el escenario 10 falta definir el tiempo de inactividad que termina la sesión para que el criterio sea comprobable. La estimación relativa figura en 0: completar o indicar que está pendiente de estimación.</t>
  </si>
  <si>
    <t xml:space="preserve">2026-10-20</t>
  </si>
  <si>
    <t xml:space="preserve">Trello, comentario 1: 10 oct 2026, 20:54 hora de Colombia (11 oct 2026, 01:54 UTC). Exportación HTML del 19 oct 2026, entregada por el autor.</t>
  </si>
  <si>
    <t xml:space="preserve">Revisión ampliada HU-001 — Proyecto de Clase y Resolución 866 de 2021.
Estructura de la HU: Como/Quiero/Para, valor, prioridad, estimación, relaciones, reglas, precondiciones y dependencias presentes. Estimación en 0: falta evidencia de estimación o declaración de pendiente.
CA en BDD: 10 escenarios Dado/Cuando/Entonces. El formato está presente; precisar los resultados pendientes o genéricos según lo indicado abajo, conservando los CA.
Rol, funcionalidad y alcance: Rol auxiliar de admisión válido; login funcional. Precisar permisos y tiempo de inactividad del escenario 10. La recuperación de credenciales del escenario 9 amplía el login básico y requiere justificar alcance. Justificar diferencias funcionales frente a HU-002/HU-003.
Mockup: no se observa imagen adjunta, pegada ni URL de imagen de la interfaz. Adjuntar mockup de la operación y estados principales, vinculado a los CA.
Complementa la revisión anterior; conserva la evaluación de estructura y BDD.</t>
  </si>
  <si>
    <t xml:space="preserve">Trello, comentario 2: 10 oct 2026, 21:52 hora de Colombia (11 oct 2026, 02:52 UTC). Exportación HTML del 19 oct 2026, entregada por el autor.</t>
  </si>
  <si>
    <t xml:space="preserve">Aclaración</t>
  </si>
  <si>
    <t xml:space="preserve">Aclaración de la revisión ampliada HU-001: el escenario 9 dice expresamente que el sistema NO ofrece recuperación de clave. Por tanto, sí respeta el alcance del login básico; retiro esa observación de ampliación de alcance. Se mantienen las demás observaciones sobre permisos, duración de sesión, estimación y mockup. La estructura y los CA BDD originales se conservan.</t>
  </si>
  <si>
    <t xml:space="preserve">Trello, comentario 3: 10 oct 2026, 21:58 hora de Colombia (11 oct 2026, 02:58 UTC). Exportación HTML del 19 oct 2026, entregada por el autor.</t>
  </si>
  <si>
    <t xml:space="preserve">Revisión HU-002: cumple Como/Quiero/Para, rol funcional médico tratante y escenarios BDD. Falta imagen de mockup o URL de la pantalla de acceso y sus estados. En el escenario 10 definir el tiempo de inactividad para comprobar la expiración de sesión. En el escenario 5 precisar qué datos puede consultar el médico. Completar la estimación relativa (actualmente 0) o marcarla pendiente.</t>
  </si>
  <si>
    <t xml:space="preserve">Revisión ampliada HU-002 — Proyecto de Clase y Resolución 866 de 2021.
Estructura de la HU: Como/Quiero/Para, valor, prioridad, estimación, relaciones, reglas, precondiciones y dependencias presentes. Estimación en 0: falta evidencia de estimación o declaración de pendiente.
CA en BDD: 10 escenarios Dado/Cuando/Entonces. El formato está presente; precisar los resultados pendientes o genéricos según lo indicado abajo, conservando los CA.
Rol, funcionalidad y alcance: Médico tratante válido; login funcional. Definir permisos y duración de sesión, y justificar separación de los otros accesos por resultados distintos de negocio.
Mockup: no se observa imagen adjunta, pegada ni URL de imagen de la interfaz. Adjuntar mockup de la operación y estados principales, vinculado a los CA.
Complementa la revisión anterior; conserva la evaluación de estructura y BDD.</t>
  </si>
  <si>
    <t xml:space="preserve">Revisión HU-003: cumple estructura Como/Quiero/Para y criterios Dado/Cuando/Entonces. Falta mockup como imagen adjunta, pegada o URL. El rol «responsable de catálogos» no cumple el criterio solicitado: sustituirlo por un cargo funcional real, por ejemplo administrador de catálogos o gestor de datos maestros, validado con el dominio, y ajustar título, precondiciones y escenarios. Precisar tiempo de inactividad del escenario 10 y operaciones permitidas del escenario 1. Completar estimación relativa (0) o marcar pendiente.</t>
  </si>
  <si>
    <t xml:space="preserve">Revisión ampliada HU-003 — Proyecto de Clase y Resolución 866 de 2021.
Estructura de la HU: Como/Quiero/Para, valor, prioridad, estimación, relaciones, reglas, precondiciones y dependencias presentes. Estimación en 0: falta evidencia de estimación o declaración de pendiente.
CA en BDD: 10 escenarios Dado/Cuando/Entonces. El formato está presente; precisar los resultados pendientes o genéricos según lo indicado abajo, conservando los CA.
Rol, funcionalidad y alcance: Login funcional, pero responsable de catálogos es genérico: indicar cargo funcional real, función y permisos. Definir duración de sesión y justificar separación de los otros accesos.
Mockup: no se observa imagen adjunta, pegada ni URL de imagen de la interfaz. Adjuntar mockup de la operación y estados principales, vinculado a los CA.
Complementa la revisión anterior; conserva la evaluación de estructura y BDD.</t>
  </si>
  <si>
    <t xml:space="preserve">Revisión HU-004: cumple estructura Como/Quiero/Para, rol funcional auxiliar de admisión y 12 escenarios BDD. Falta mockup en imagen o URL del formulario de registro, sus campos y mensajes de validación. Precisar los campos obligatorios del escenario 9 y la clave que identifica duplicados en el escenario 11 (por ejemplo tipo y número de documento, según la regla del dominio). Completar la estimación relativa (0) o marcar pendiente.</t>
  </si>
  <si>
    <t xml:space="preserve">Revisión ampliada HU-004 — Proyecto de Clase y Resolución 866 de 2021.
Estructura de la HU: Como/Quiero/Para, valor, prioridad, estimación, relaciones, reglas, precondiciones y dependencias presentes. Estimación en 0: falta evidencia de estimación o declaración de pendiente.
CA en BDD: 12 escenarios Dado/Cuando/Entonces. El formato está presente; precisar los resultados pendientes o genéricos según lo indicado abajo, conservando los CA.
Rol, funcionalidad y alcance: Registro de paciente funcional y auxiliar de admisión válido. Ciudad/código DANE, nacionalidades y discapacidades son criterios de esta operación. Enumerar todos los datos del grupo paciente del anexo, formatos y obligatoriedad; definir clave del duplicado del escenario 11. Fecha sin hora es compatible con la longitud mínima 10 del anexo.
Mockup: no se observa imagen adjunta, pegada ni URL de imagen de la interfaz. Adjuntar mockup de la operación y estados principales, vinculado a los CA.
Complementa la revisión anterior; conserva la evaluación de estructura y BDD.</t>
  </si>
  <si>
    <t xml:space="preserve">Trello, comentario 2: 10 oct 2026, 21:53 hora de Colombia (11 oct 2026, 02:53 UTC). Exportación HTML del 19 oct 2026, entregada por el autor.</t>
  </si>
  <si>
    <t xml:space="preserve">Revisión HU-005: estructura Como/Quiero/Para, rol auxiliar de admisión y BDD presentes. Falta mockup como imagen o URL de la búsqueda y ficha de paciente. Precisar campos de búsqueda y datos que incluye «información completa». Aclarar escenario 7: HU-004 impide guardar si faltan datos obligatorios; distinguir datos opcionales pendientes de un registro inválido. Completar estimación relativa (0) o indicar pendiente.</t>
  </si>
  <si>
    <t xml:space="preserve">Trello, comentario 1: 10 oct 2026, 20:55 hora de Colombia (11 oct 2026, 01:55 UTC). Exportación HTML del 19 oct 2026, entregada por el autor.</t>
  </si>
  <si>
    <t xml:space="preserve">Revisión ampliada HU-005 — Proyecto de Clase y Resolución 866 de 2021.
Estructura de la HU: Como/Quiero/Para, valor, prioridad, estimación, relaciones, reglas, precondiciones y dependencias presentes. Estimación en 0: falta evidencia de estimación o declaración de pendiente.
CA en BDD: 10 escenarios Dado/Cuando/Entonces. El formato está presente; precisar los resultados pendientes o genéricos según lo indicado abajo, conservando los CA.
Rol, funcionalidad y alcance: Consulta de paciente funcional y actor válido. Enumerar datos y criterios exactos de búsqueda/permisos. Resolver paciente incompleto del escenario 7 frente a HU-004 que rechaza obligatorios incompletos: aclarar origen o borrador.
Mockup: no se observa imagen adjunta, pegada ni URL de imagen de la interfaz. Adjuntar mockup de la operación y estados principales, vinculado a los CA.
Complementa la revisión anterior; conserva la evaluación de estructura y BDD.</t>
  </si>
  <si>
    <t xml:space="preserve">Revisión HU-006: estructura, rol funcional y escenarios BDD presentes. Falta mockup como imagen o URL del formulario de actualización y consulta del historial. En el escenario 2 incluir también la hora de la corrección, exigida por la propia regla de negocio; en el escenario 7 enumerar o referenciar explícitamente los campos obligatorios. Completar estimación relativa (0) o indicar pendiente.</t>
  </si>
  <si>
    <t xml:space="preserve">Revisión ampliada HU-006 — Proyecto de Clase y Resolución 866 de 2021.
Estructura de la HU: Como/Quiero/Para, valor, prioridad, estimación, relaciones, reglas, precondiciones y dependencias presentes. Estimación en 0: falta evidencia de estimación o declaración de pendiente.
CA en BDD: 10 escenarios Dado/Cuando/Entonces. El formato está presente; precisar los resultados pendientes o genéricos según lo indicado abajo, conservando los CA.
Rol, funcionalidad y alcance: Actualización de paciente funcional y actor válido. Bien preservar valor previo. Concretar campos editables y llevar a CA dato anterior/nuevo, fecha, hora, nombre e identificación de quien corrige (art.10 par.2). Ciudad/ocupación deben permanecer como criterios del paciente.
Mockup: no se observa imagen adjunta, pegada ni URL de imagen de la interfaz. Adjuntar mockup de la operación y estados principales, vinculado a los CA.
Complementa la revisión anterior; conserva la evaluación de estructura y BDD.</t>
  </si>
  <si>
    <t xml:space="preserve">Revisión HU-007: estructura Como/Quiero/Para, rol médico tratante y formato BDD presentes. Falta mockup como imagen o URL del registro de atención y selección de diagnóstico. El escenario 11 no tiene resultado verificable: «aplica el criterio que el equipo haya definido» debe reemplazarse por aceptación o rechazo concreto de códigos padre una vez resuelta la regla. Identificar la versión de catálogo usada para las pruebas y detallar los campos obligatorios de la atención. Completar estimación relativa (0) o indicar pendiente.</t>
  </si>
  <si>
    <t xml:space="preserve">Revisión ampliada HU-007 — Proyecto de Clase y Resolución 866 de 2021.
Estructura de la HU: Como/Quiero/Para, valor, prioridad, estimación, relaciones, reglas, precondiciones y dependencias presentes. Estimación en 0: falta evidencia de estimación o declaración de pendiente.
CA en BDD: 11 escenarios Dado/Cuando/Entonces. El formato está presente; precisar los resultados pendientes o genéricos según lo indicado abajo, conservando los CA.
Rol, funcionalidad y alcance: Registro de contacto clínico funcional y médico tratante válido. Concretar prestador, fecha/hora, modalidad/grupo, entorno, vía, causa, triage cuando corresponda y diagnóstico principal/tipo. Resolver escenario 11 pendiente con resultado concreto; definir estado y finalización del borrador del escenario 10.
Mockup: no se observa imagen adjunta, pegada ni URL de imagen de la interfaz. Adjuntar mockup de la operación y estados principales, vinculado a los CA.
Complementa la revisión anterior; conserva la evaluación de estructura y BDD.</t>
  </si>
  <si>
    <t xml:space="preserve">Revisión HU-008: estructura, rol médico tratante y escenarios BDD presentes. Falta mockup como imagen o URL del historial y detalle de atención. En el escenario 2 indicar si el orden cronológico es ascendente o descendente. Ajustar la precondición «al menos una atención» para permitir el caso sin atenciones del escenario 3. Precisar cómo se visualiza el historial y sus marcas de fecha/hora. Completar estimación relativa (0) o indicar pendiente.</t>
  </si>
  <si>
    <t xml:space="preserve">Revisión ampliada HU-008 — Proyecto de Clase y Resolución 866 de 2021.
Estructura de la HU: Como/Quiero/Para, valor, prioridad, estimación, relaciones, reglas, precondiciones y dependencias presentes. Estimación en 0: falta evidencia de estimación o declaración de pendiente.
CA en BDD: 10 escenarios Dado/Cuando/Entonces. El formato está presente; precisar los resultados pendientes o genéricos según lo indicado abajo, conservando los CA.
Rol, funcionalidad y alcance: Consulta clínica funcional y médico tratante válido. Concretar todo el detalle del contacto, principal/tipo de diagnóstico, sentido del orden cronológico y acceso. En escenario 6 completar fecha/hora/nombre/identificación del corrector junto con anterior/vigente.
Mockup: no se observa imagen adjunta, pegada ni URL de imagen de la interfaz. Adjuntar mockup de la operación y estados principales, vinculado a los CA.
Complementa la revisión anterior; conserva la evaluación de estructura y BDD.</t>
  </si>
  <si>
    <t xml:space="preserve">Trello, comentario 2: 10 oct 2026, 21:54 hora de Colombia (11 oct 2026, 02:54 UTC). Exportación HTML del 19 oct 2026, entregada por el autor.</t>
  </si>
  <si>
    <t xml:space="preserve">Revisión HU-009: estructura, rol médico tratante y BDD presentes. Falta mockup como imagen o URL de la modificación de atención y su historial. Añadir al resultado BDD la fecha y hora de la modificación, además del autor y valores anterior/nuevo, para comprobar la regla de trazabilidad declarada. Definir el comportamiento al cambiar a un código padre, coherente con la decisión pendiente en HU-007. Completar estimación relativa (0) o indicar pendiente.</t>
  </si>
  <si>
    <t xml:space="preserve">Trello, comentario 1: 10 oct 2026, 20:56 hora de Colombia (11 oct 2026, 01:56 UTC). Exportación HTML del 19 oct 2026, entregada por el autor.</t>
  </si>
  <si>
    <t xml:space="preserve">Revisión ampliada HU-009 — Proyecto de Clase y Resolución 866 de 2021.
Estructura de la HU: Como/Quiero/Para, valor, prioridad, estimación, relaciones, reglas, precondiciones y dependencias presentes. Estimación en 0: falta evidencia de estimación o declaración de pendiente.
CA en BDD: 10 escenarios Dado/Cuando/Entonces. El formato está presente; precisar los resultados pendientes o genéricos según lo indicado abajo, conservando los CA.
Rol, funcionalidad y alcance: Corrección clínica funcional y actor válido. Bien preservar original. Llevar a escenarios la regla de fecha/hora/nombre/identificación del corrector; escenario 8 solo expresa identificación. Precisar campos editables y principal/tipo de diagnóstico.
Mockup: no se observa imagen adjunta, pegada ni URL de imagen de la interfaz. Adjuntar mockup de la operación y estados principales, vinculado a los CA.
Complementa la revisión anterior; conserva la evaluación de estructura y BDD.</t>
  </si>
  <si>
    <t xml:space="preserve">Revisión HU-010: cumple Como/Quiero/Para, rol funcional auxiliar de admisión y BDD. Falta mockup como imagen adjunta/pegada o URL del registro de manifestación y sus validaciones. Enumerar los datos obligatorios del escenario 9 y definir valores permitidos para oposición/no oposición/sin manifestación; aclarar en los resultados que ausencia de registro no equivale a no oposición. Completar estimación relativa (0) o indicar pendiente.</t>
  </si>
  <si>
    <t xml:space="preserve">Revisión ampliada HU-010 — Proyecto de Clase y Resolución 866 de 2021.
Estructura de la HU: Como/Quiero/Para, valor, prioridad, estimación, relaciones, reglas, precondiciones y dependencias presentes. Estimación en 0: falta evidencia de estimación o declaración de pendiente.
CA en BDD: 10 escenarios Dado/Cuando/Entonces. El formato está presente; precisar los resultados pendientes o genéricos según lo indicado abajo, conservando los CA.
Rol, funcionalidad y alcance: Registro de oposición funcional y actor válido. Corregir afirmación de que si no está registrada no existe: ausencia informática no determina inexistencia jurídica. Precisar Sí/No y fecha de suscripción del documento escrito, no solo manifestación; enumerar obligatorios. Estructura separada procede del proyecto y debe traducirse en resultados funcionales.
Mockup: no se observa imagen adjunta, pegada ni URL de imagen de la interfaz. Adjuntar mockup de la operación y estados principales, vinculado a los CA.
Complementa la revisión anterior; conserva la evaluación de estructura y BDD.</t>
  </si>
  <si>
    <t xml:space="preserve">Revisión HU-011: cumple estructura, rol funcional y escenarios BDD. Falta mockup como imagen o URL de la consulta de manifestación, estado sin registro e historial. Precisar qué información muestra el historial del escenario 5 y cómo distinguir vigente, anterior y eliminada. Completar estimación relativa (0) o indicar pendiente.</t>
  </si>
  <si>
    <t xml:space="preserve">Trello, comentario 1: 10 oct 2026, 20:57 hora de Colombia (11 oct 2026, 01:57 UTC). Exportación HTML del 19 oct 2026, entregada por el autor.</t>
  </si>
  <si>
    <t xml:space="preserve">Revisión ampliada HU-011 — Proyecto de Clase y Resolución 866 de 2021.
Estructura de la HU: Como/Quiero/Para, valor, prioridad, estimación, relaciones, reglas, precondiciones y dependencias presentes. Estimación en 0: falta evidencia de estimación o declaración de pendiente.
CA en BDD: 10 escenarios Dado/Cuando/Entonces. El formato está presente; precisar los resultados pendientes o genéricos según lo indicado abajo, conservando los CA.
Rol, funcionalidad y alcance: Consulta de oposición funcional y actor válido. Bien distinguir ausencia de información de no oposición. Precisar fecha del documento escrito y permisos. Mantener historial y no interpretar ausencia de registro vigente como ausencia de voluntad.
Mockup: no se observa imagen adjunta, pegada ni URL de imagen de la interfaz. Adjuntar mockup de la operación y estados principales, vinculado a los CA.
Complementa la revisión anterior; conserva la evaluación de estructura y BDD.</t>
  </si>
  <si>
    <t xml:space="preserve">Revisión HU-012: cumple estructura Como/Quiero/Para, rol auxiliar de admisión y BDD. Falta mockup como imagen o URL de actualización de manifestación. Añadir escenario para cambio de no oposición a oposición (solo se describe la dirección inversa). En el escenario 2 comprobar también el autor del registro anterior, conforme a la regla declarada. Completar estimación relativa (0) o indicar pendiente.</t>
  </si>
  <si>
    <t xml:space="preserve">Revisión ampliada HU-012 — Proyecto de Clase y Resolución 866 de 2021.
Estructura de la HU: Como/Quiero/Para, valor, prioridad, estimación, relaciones, reglas, precondiciones y dependencias presentes. Estimación en 0: falta evidencia de estimación o declaración de pendiente.
CA en BDD: 10 escenarios Dado/Cuando/Entonces. El formato está presente; precisar los resultados pendientes o genéricos según lo indicado abajo, conservando los CA.
Rol, funcionalidad y alcance: Actualización de oposición funcional y actor válido. Concretar evidencia de nueva manifestación, fecha del documento y fecha/hora/nombre/identificación de quien corrige. Distinguir corrección de error de cambio de voluntad y mantener versiones.
Mockup: no se observa imagen adjunta, pegada ni URL de imagen de la interfaz. Adjuntar mockup de la operación y estados principales, vinculado a los CA.
Complementa la revisión anterior; conserva la evaluación de estructura y BDD.</t>
  </si>
  <si>
    <t xml:space="preserve">Revisión HU-013: cumple estructura, rol auxiliar de admisión y criterios BDD, incluidos confirmación, cancelación y trazabilidad. Falta mockup como imagen o URL del diálogo de confirmación y el estado posterior a la eliminación. Precisar en el mockup los mensajes y la visualización del registro histórico conservado. Completar estimación relativa (0) o indicar pendiente.</t>
  </si>
  <si>
    <t xml:space="preserve">Revisión ampliada HU-013 — Proyecto de Clase y Resolución 866 de 2021.
Estructura de la HU: Como/Quiero/Para, valor, prioridad, estimación, relaciones, reglas, precondiciones y dependencias presentes. Estimación en 0: falta evidencia de estimación o declaración de pendiente.
CA en BDD: 10 escenarios Dado/Cuando/Entonces. El formato está presente; precisar los resultados pendientes o genéricos según lo indicado abajo, conservando los CA.
Rol, funcionalidad y alcance: Anular oposición registrada por error es funcional y actor válido. Bien conservar historial. Precisar motivo, permisos, fecha/hora y autor identificado, estado anulado y consulta. Borrar registro erróneo no revoca automáticamente la voluntad del paciente.
Mockup: no se observa imagen adjunta, pegada ni URL de imagen de la interfaz. Adjuntar mockup de la operación y estados principales, vinculado a los CA.
Complementa la revisión anterior; conserva la evaluación de estructura y BDD.</t>
  </si>
  <si>
    <t xml:space="preserve">Revisión HU-014: cumple estructura Como/Quiero/Para, rol auxiliar de admisión y BDD. Falta mockup como imagen o URL del registro de voluntad anticipada. Enumerar datos obligatorios y su obligatoriedad condicional cuando se indica que no existe documento (escenarios 2 y 9); definir validación de fecha y código de prestador. Completar estimación relativa (0) o indicar pendiente.</t>
  </si>
  <si>
    <t xml:space="preserve">Trello, comentario 1: 10 oct 2026, 20:58 hora de Colombia (11 oct 2026, 01:58 UTC). Exportación HTML del 19 oct 2026, entregada por el autor.</t>
  </si>
  <si>
    <t xml:space="preserve">Revisión ampliada HU-014 — Proyecto de Clase y Resolución 866 de 2021.
Estructura de la HU: Como/Quiero/Para, valor, prioridad, estimación, relaciones, reglas, precondiciones y dependencias presentes. Estimación en 0: falta evidencia de estimación o declaración de pendiente.
CA en BDD: 10 escenarios Dado/Cuando/Entonces. El formato está presente; precisar los resultados pendientes o genéricos según lo indicado abajo, conservando los CA.
Rol, funcionalidad y alcance: Registro de voluntad anticipada funcional y actor válido. Bien existencia, fecha de suscripción y custodio. Precisar formato/código del custodio y distinguir documento, ausencia y desconocido. Separación procede del proyecto y necesita resultados funcionales comprobables.
Mockup: no se observa imagen adjunta, pegada ni URL de imagen de la interfaz. Adjuntar mockup de la operación y estados principales, vinculado a los CA.
Complementa la revisión anterior; conserva la evaluación de estructura y BDD.</t>
  </si>
  <si>
    <t xml:space="preserve">Revisión HU-015: cumple estructura, rol funcional y BDD. Falta mockup como imagen o URL de consulta del documento, ausencia de registro e historial. Añadir criterio para consultar la manifestación explícita «no tiene documento» de HU-014, diferenciándola de «no se ha preguntado» y «registro eliminado». Completar estimación relativa (0) o indicar pendiente.</t>
  </si>
  <si>
    <t xml:space="preserve">Revisión ampliada HU-015 — Proyecto de Clase y Resolución 866 de 2021.
Estructura de la HU: Como/Quiero/Para, valor, prioridad, estimación, relaciones, reglas, precondiciones y dependencias presentes. Estimación en 0: falta evidencia de estimación o declaración de pendiente.
CA en BDD: 10 escenarios Dado/Cuando/Entonces. El formato está presente; precisar los resultados pendientes o genéricos según lo indicado abajo, conservando los CA.
Rol, funcionalidad y alcance: Consulta de voluntad anticipada funcional y actor válido. Precisar vigente, modificación, sustitución y revocación con fechas/custodio; conservar historial. Ausencia de dato no equivale a inexistencia del documento. Definir permisos.
Mockup: no se observa imagen adjunta, pegada ni URL de imagen de la interfaz. Adjuntar mockup de la operación y estados principales, vinculado a los CA.
Complementa la revisión anterior; conserva la evaluación de estructura y BDD.</t>
  </si>
  <si>
    <t xml:space="preserve">Trello, comentario 2: 10 oct 2026, 21:55 hora de Colombia (11 oct 2026, 02:55 UTC). Exportación HTML del 19 oct 2026, entregada por el autor.</t>
  </si>
  <si>
    <t xml:space="preserve">Revisión HU-016: cumple estructura, rol auxiliar de admisión y formato BDD. Falta mockup como imagen o URL de actualización del documento y su historial. El propósito menciona revocación, pero faltan escenario y resultado concreto para documento revocado. Enumerar campos obligatorios del escenario 9 e incluir autor del registro anterior en el escenario 2, según la regla declarada. Completar estimación relativa (0) o indicar pendiente.</t>
  </si>
  <si>
    <t xml:space="preserve">Revisión ampliada HU-016 — Proyecto de Clase y Resolución 866 de 2021.
Estructura de la HU: Como/Quiero/Para, valor, prioridad, estimación, relaciones, reglas, precondiciones y dependencias presentes. Estimación en 0: falta evidencia de estimación o declaración de pendiente.
CA en BDD: 10 escenarios Dado/Cuando/Entonces. El formato está presente; precisar los resultados pendientes o genéricos según lo indicado abajo, conservando los CA.
Rol, funcionalidad y alcance: Actualización de voluntad anticipada funcional y actor válido. Agregar CA concretos de modificación, sustitución y revocación con fechas, custodio y versiones. Registrar fecha/hora/nombre/identificación del corrector; documento nuevo no cubre todos los eventos.
Mockup: no se observa imagen adjunta, pegada ni URL de imagen de la interfaz. Adjuntar mockup de la operación y estados principales, vinculado a los CA.
Complementa la revisión anterior; conserva la evaluación de estructura y BDD.</t>
  </si>
  <si>
    <t xml:space="preserve">Revisión HU-017: cumple estructura Como/Quiero/Para, rol funcional y criterios BDD, con confirmación, cancelación y trazabilidad. Falta mockup como imagen o URL del diálogo de eliminación y del estado sin registro vigente; mostrar también cómo se conserva y consulta el historial. Completar estimación relativa (0) o indicar pendiente.</t>
  </si>
  <si>
    <t xml:space="preserve">Revisión ampliada HU-017 — Proyecto de Clase y Resolución 866 de 2021.
Estructura de HU: Como/Quiero/Para y metadatos presentes; estimación 0 pendiente de sustento. CA en BDD: 10 escenarios Dado/Cuando/Entonces presentes. Conservarlos y precisar resultados.
Rol: auxiliar de admisión válido. Anular registro documental erróneo es funcional. Distinguir anulación por error de revocación de voluntad: evento, motivo, fecha y autor identificado; mantener historial y consulta correcta. Ausencia de registro vigente no prueba inexistencia de documento.
Mockup: falta imagen adjunta, pegada o URL de la operación, confirmación y estados. Este comentario complementa, sin borrar, la revisión previa de estructura y BDD.</t>
  </si>
  <si>
    <t xml:space="preserve">Revisión HU-018: estructura Como/Quiero/Para y escenarios BDD presentes. Cambiar «responsable de catálogos» por un cargo funcional real (por ejemplo administrador de catálogos o gestor de datos maestros, validado con el dominio) en descripción, precondiciones y escenarios. Falta mockup como imagen o URL de carga individual/masiva y reporte de rechazados. Definir formato de importación y campos, clave de duplicidad y validación de códigos contra la fuente oficial, además de la longitud. Enlazar o incluir definiciones RC-1, RC-3 y RC-5. Completar estimación relativa (0) o indicar pendiente.</t>
  </si>
  <si>
    <t xml:space="preserve">Trello, comentario 1: 10 oct 2026, 20:59 hora de Colombia (11 oct 2026, 01:59 UTC). Exportación HTML del 19 oct 2026, entregada por el autor.</t>
  </si>
  <si>
    <t xml:space="preserve">Revisión ampliada HU-018 — Proyecto de Clase y Resolución 866 de 2021.
Estructura de HU: Como/Quiero/Para, valor, prioridad, estimación, relaciones, reglas, precondiciones y dependencias presentes. Estimación 0: falta sustento o estado pendiente.
CA en BDD: 10 escenarios Dado/Cuando/Entonces presentes. Conservar los CA y precisar resultados según esta observación.
Rol: responsable de catálogos es genérico. Definir un cargo funcional real de la IPS, su función y permisos; no basta cambiar el nombre.
Funcionalidad y alcance: Carga de países funcional. Validar código/nombre contra ISO 3166-1, no solo longitud; precisar importación y errores.
Mockup: falta imagen adjunta, pegada o URL de imagen de esta operación y sus estados, relacionada con los CA.
Complementa la revisión anterior, conservando la evaluación de estructura y BDD.</t>
  </si>
  <si>
    <t xml:space="preserve">Trello, comentario 2: 10 oct 2026, 21:56 hora de Colombia (11 oct 2026, 02:56 UTC). Exportación HTML del 19 oct 2026, entregada por el autor.</t>
  </si>
  <si>
    <t xml:space="preserve">Revisión HU-019: estructura y BDD presentes. Cambiar «responsable de catálogos» por un cargo funcional real (por ejemplo administrador de catálogos o gestor de datos maestros, validado con el dominio) en descripción, precondiciones y escenarios. Falta mockup como imagen o URL del listado, búsqueda y catálogo vacío. Precisar si la búsqueda por nombre es exacta o parcial y cómo muestra múltiples coincidencias. Enlazar o incluir definiciones RC-1 y RC-2. Completar estimación relativa (0) o indicar pendiente.</t>
  </si>
  <si>
    <t xml:space="preserve">Revisión ampliada HU-019 — Proyecto de Clase y Resolución 866 de 2021.
Estructura de HU: Como/Quiero/Para, valor, prioridad, estimación, relaciones, reglas, precondiciones y dependencias presentes. Estimación 0: falta sustento o estado pendiente.
CA en BDD: 10 escenarios Dado/Cuando/Entonces presentes. Conservar los CA y precisar resultados según esta observación.
Rol: responsable de catálogos es genérico. Definir un cargo funcional real de la IPS, su función y permisos; no basta cambiar el nombre.
Funcionalidad y alcance: Consulta de países funcional. Definir fuente/versión y cómo comprobar catálogo completo: el conteo no demuestra completitud.
Mockup: falta imagen adjunta, pegada o URL de imagen de esta operación y sus estados, relacionada con los CA.
Complementa la revisión anterior, conservando la evaluación de estructura y BDD.</t>
  </si>
  <si>
    <t xml:space="preserve">Revisión HU-020: estructura y BDD presentes. Cambiar «responsable de catálogos» por un cargo funcional real (por ejemplo administrador de catálogos o gestor de datos maestros, validado con el dominio) en descripción, precondiciones y escenarios. Falta mockup como imagen o URL de edición de país, errores y confirmación. Añadir escenario exitoso de cambio de código y resultado sobre las referencias existentes; solo se describe el cambio exitoso de nombre y rechazos de código. Enlazar o incluir RC-1, RC-3 y RC-5. Completar estimación relativa (0) o indicar pendiente.</t>
  </si>
  <si>
    <t xml:space="preserve">Revisión ampliada HU-020 — Proyecto de Clase y Resolución 866 de 2021.
Estructura de HU: Como/Quiero/Para, valor, prioridad, estimación, relaciones, reglas, precondiciones y dependencias presentes. Estimación 0: falta sustento o estado pendiente.
CA en BDD: 10 escenarios Dado/Cuando/Entonces presentes. Conservar los CA y precisar resultados según esta observación.
Rol: responsable de catálogos es genérico. Definir un cargo funcional real de la IPS, su función y permisos; no basta cambiar el nombre.
Funcionalidad y alcance: Actualización de países funcional por cambio oficial. Validar correspondencia oficial y versionado; no reinterpretar nacionalidad/residencia histórica por cambiar un código.
Mockup: falta imagen adjunta, pegada o URL de imagen de esta operación y sus estados, relacionada con los CA.
Complementa la revisión anterior, conservando la evaluación de estructura y BDD.</t>
  </si>
  <si>
    <t xml:space="preserve">Revisión HU-021: estructura y BDD presentes; contempla valor en uso, confirmación, cancelación e historial. Cambiar «responsable de catálogos» por un cargo funcional real (por ejemplo administrador de catálogos o gestor de datos maestros, validado con el dominio) en descripción, precondiciones y escenarios. Falta mockup como imagen o URL del diálogo de eliminación y bloqueo de país en uso con cantidad de registros afectados. Enlazar o incluir RC-1, RC-4 y RC-5. Completar estimación relativa (0) o indicar pendiente.</t>
  </si>
  <si>
    <t xml:space="preserve">Revisión ampliada HU-021 — Proyecto de Clase y Resolución 866 de 2021.
Estructura de HU: Como/Quiero/Para, valor, prioridad, estimación, relaciones, reglas, precondiciones y dependencias presentes. Estimación 0: falta sustento o estado pendiente.
CA en BDD: 10 escenarios Dado/Cuando/Entonces presentes. Conservar los CA y precisar resultados según esta observación.
Rol: responsable de catálogos es genérico. Definir un cargo funcional real de la IPS, su función y permisos; no basta cambiar el nombre.
Funcionalidad y alcance: Retiro de país erróneo funcional. Bien bloquear uso y conservar rastro; precisar inactivación/recarga, motivo y autor, sin retirar valores oficiales arbitrariamente.
Mockup: falta imagen adjunta, pegada o URL de imagen de esta operación y sus estados, relacionada con los CA.
Complementa la revisión anterior, conservando la evaluación de estructura y BDD.</t>
  </si>
  <si>
    <t xml:space="preserve">Comentario breve</t>
  </si>
  <si>
    <t xml:space="preserve">No es una funcionalidad, no explica como se deben cargar los valores</t>
  </si>
  <si>
    <t xml:space="preserve">Trello, comentario 1: 10 oct 2026, 20:44:03 hora de Colombia (11 oct 2026, 01:44 UTC). Exportación HTML del 19 oct 2026, entregada por el autor.</t>
  </si>
  <si>
    <t xml:space="preserve">Esto “responsable de catálogos” no es un rol? quien es responsable de catalogos? yo en la IPS no tengo ningun responsable en mi organización</t>
  </si>
  <si>
    <t xml:space="preserve">Trello, comentario 2: 10 oct 2026, 20:44:54 hora de Colombia (11 oct 2026, 01:44 UTC). Exportación HTML del 19 oct 2026, entregada por el autor.</t>
  </si>
  <si>
    <t xml:space="preserve">Revisión HU-022: cumple estructura Como/Quiero/Para y escenarios BDD, incluyendo jerarquía y rechazo de categorías sin padre. Cambiar «responsable de catálogos» por un cargo funcional real (por ejemplo administrador de catálogos o gestor de datos maestros, validado con el dominio) en descripción, precondiciones y escenarios. Falta mockup como imagen o URL de carga individual/masiva y reporte de errores. Precisar cómo se cargan los valores: formato de archivo o formulario, campos código/nombre/padre, clave de duplicidad y tratamiento de padre e hija en el mismo lote. Enlazar o incluir RC-1, RC-3 y RC-5. Completar estimación relativa (0) o indicar pendiente.</t>
  </si>
  <si>
    <t xml:space="preserve">Trello, comentario 3: 10 oct 2026, 20:59 hora de Colombia (11 oct 2026, 01:59 UTC). Exportación HTML del 19 oct 2026, entregada por el autor.</t>
  </si>
  <si>
    <t xml:space="preserve">Revisión ampliada HU-022 — Proyecto de Clase y Resolución 866 de 2021.
Estructura de HU: Como/Quiero/Para, valor, prioridad, estimación, relaciones, reglas, precondiciones y dependencias presentes. Estimación 0: falta sustento o estado pendiente.
CA en BDD: 10 escenarios Dado/Cuando/Entonces presentes. Conservar los CA y precisar resultados según esta observación.
Rol: responsable de catálogos es genérico. Definir un cargo funcional real de la IPS, su función y permisos; no basta cambiar el nombre.
Funcionalidad y alcance: Carga de ocupaciones funcional. Bien jerarquía e hijas para pacientes. Validar códigos oficiales CIUO-88 AC y reglas de raíces/importación padre-hijo.
Mockup: falta imagen adjunta, pegada o URL de imagen de esta operación y sus estados, relacionada con los CA.
Complementa la revisión anterior, conservando la evaluación de estructura y BDD.</t>
  </si>
  <si>
    <t xml:space="preserve">Trello, comentario 4: 10 oct 2026, 21:56 hora de Colombia (11 oct 2026, 02:56 UTC). Exportación HTML del 19 oct 2026, entregada por el autor.</t>
  </si>
  <si>
    <t xml:space="preserve">Revisión HU-023: estructura y BDD presentes, con consulta de jerarquía y restricción a categorías hijas. Cambiar «responsable de catálogos» por un cargo funcional real (por ejemplo administrador de catálogos o gestor de datos maestros, validado con el dominio) en descripción, precondiciones y escenarios. Falta mockup como imagen o URL del árbol/listado y búsqueda de ocupaciones. Definir coincidencia exacta o parcial y resultado cuando no existe la ocupación buscada. Enlazar o incluir RC-1 y RC-2. Completar estimación relativa (0) o indicar pendiente.</t>
  </si>
  <si>
    <t xml:space="preserve">Trello, comentario 1: 10 oct 2026, 21:00 hora de Colombia (11 oct 2026, 02:00 UTC). Exportación HTML del 19 oct 2026, entregada por el autor.</t>
  </si>
  <si>
    <t xml:space="preserve">Revisión ampliada HU-023 — Proyecto de Clase y Resolución 866 de 2021.
Estructura de HU: Como/Quiero/Para, valor, prioridad, estimación, relaciones, reglas, precondiciones y dependencias presentes. Estimación 0: falta sustento o estado pendiente.
CA en BDD: 10 escenarios Dado/Cuando/Entonces presentes. Conservar los CA y precisar resultados según esta observación.
Rol: responsable de catálogos es genérico. Definir un cargo funcional real de la IPS, su función y permisos; no basta cambiar el nombre.
Funcionalidad y alcance: Consulta de ocupaciones funcional. Bien hijas asociables. Precisar fuente/versión y comprobación de ramas incompletas.
Mockup: falta imagen adjunta, pegada o URL de imagen de esta operación y sus estados, relacionada con los CA.
Complementa la revisión anterior, conservando la evaluación de estructura y BDD.</t>
  </si>
  <si>
    <t xml:space="preserve">Revisión HU-024: estructura y BDD presentes. Cambiar «responsable de catálogos» por un cargo funcional real (por ejemplo administrador de catálogos o gestor de datos maestros, validado con el dominio) en descripción, precondiciones y escenarios. Falta mockup como imagen o URL de edición y cambio de categoría padre. Añadir criterio para rechazar padre inexistente o una relación que forme un ciclo; el escenario 4 solo cubre cambio exitoso. Añadir intento por rol autenticado sin permiso. Enlazar o incluir RC-1, RC-3 y RC-5. Completar estimación relativa (0) o indicar pendiente.</t>
  </si>
  <si>
    <t xml:space="preserve">Revisión ampliada HU-024 — Proyecto de Clase y Resolución 866 de 2021.
Estructura de HU: Como/Quiero/Para, valor, prioridad, estimación, relaciones, reglas, precondiciones y dependencias presentes. Estimación 0: falta sustento o estado pendiente.
CA en BDD: 10 escenarios Dado/Cuando/Entonces presentes. Conservar los CA y precisar resultados según esta observación.
Rol: responsable de catálogos es genérico. Definir un cargo funcional real de la IPS, su función y permisos; no basta cambiar el nombre.
Funcionalidad y alcance: Actualización de ocupaciones funcional. Validar códigos/relaciones oficiales, impedir ciclos/padre inexistente y preservar referencias históricas.
Mockup: falta imagen adjunta, pegada o URL de imagen de esta operación y sus estados, relacionada con los CA.
Complementa la revisión anterior, conservando la evaluación de estructura y BDD.</t>
  </si>
  <si>
    <t xml:space="preserve">Trello, comentario 2: 10 oct 2026, 21:57 hora de Colombia (11 oct 2026, 02:57 UTC). Exportación HTML del 19 oct 2026, entregada por el autor.</t>
  </si>
  <si>
    <t xml:space="preserve">Revisión HU-025: estructura y BDD presentes; contempla valores en uso y padres con hijas. Cambiar «responsable de catálogos» por un cargo funcional real (por ejemplo administrador de catálogos o gestor de datos maestros, validado con el dominio) en descripción, precondiciones y escenarios. Falta mockup como imagen o URL de confirmación y bloqueos por pacientes/categorías dependientes. Añadir escenario de intento de eliminación por rol autenticado sin permisos: ausencia de sesión no cubre autorización. Enlazar o incluir RC-1, RC-4 y RC-5. Completar estimación relativa (0) o indicar pendiente.</t>
  </si>
  <si>
    <t xml:space="preserve">Revisión ampliada HU-025 — Proyecto de Clase y Resolución 866 de 2021.
Estructura de HU: Como/Quiero/Para, valor, prioridad, estimación, relaciones, reglas, precondiciones y dependencias presentes. Estimación 0: falta sustento o estado pendiente.
CA en BDD: 10 escenarios Dado/Cuando/Entonces presentes. Conservar los CA y precisar resultados según esta observación.
Rol: responsable de catálogos es genérico. Definir un cargo funcional real de la IPS, su función y permisos; no basta cambiar el nombre.
Funcionalidad y alcance: Retiro de ocupación errónea funcional. Bien bloqueo de uso y padres con hijas; precisar vigencia, recarga, motivo/autor e historial.
Mockup: falta imagen adjunta, pegada o URL de imagen de esta operación y sus estados, relacionada con los CA.
Complementa la revisión anterior, conservando la evaluación de estructura y BDD.</t>
  </si>
  <si>
    <t xml:space="preserve">Revisión HU-026: estructura Como/Quiero/Para y BDD presentes; contempla municipios homónimos y duplicidad por código. Cambiar «responsable de catálogos» por un cargo funcional real (por ejemplo administrador de catálogos o gestor de datos maestros, validado con el dominio) en descripción, precondiciones y escenarios. Falta mockup como imagen o URL de carga individual/masiva y reporte de errores. Precisar formato de importación, campos obligatorios y regla exacta del código DANE (incluido tratamiento de ceros iniciales); «formato de la División Político Administrativa» no basta para una prueba reproducible. Añadir intento por rol autenticado sin permisos. Enlazar o incluir RC-1, RC-3 y RC-5. Completar estimación relativa (0) o indicar pendiente.</t>
  </si>
  <si>
    <t xml:space="preserve">Trello, comentario 1: 10 oct 2026, 21:01 hora de Colombia (11 oct 2026, 02:01 UTC). Exportación HTML del 19 oct 2026, entregada por el autor.</t>
  </si>
  <si>
    <t xml:space="preserve">Revisión ampliada HU-026 — Proyecto de Clase y Resolución 866 de 2021.
Estructura de HU: Como/Quiero/Para, valor, prioridad, estimación, relaciones, reglas, precondiciones y dependencias presentes. Estimación 0: falta sustento o estado pendiente.
CA en BDD: 10 escenarios Dado/Cuando/Entonces presentes. Conservar los CA y precisar resultados según esta observación.
Rol: responsable de catálogos es genérico. Definir un cargo funcional real de la IPS, su función y permisos; no basta cambiar el nombre.
Funcionalidad y alcance: Carga de municipios funcional, distinta de seleccionar residencia del paciente. Precisar cinco posiciones del código DANE con ceros iniciales y correspondencia nombre/código/departamento DIVIPOLA.
Mockup: falta imagen adjunta, pegada o URL de imagen de esta operación y sus estados, relacionada con los CA.
Complementa la revisión anterior, conservando la evaluación de estructura y BDD.</t>
  </si>
  <si>
    <t xml:space="preserve">Revisión HU-027: estructura y BDD presentes, con búsqueda por nombre/código y caso inexistente. Cambiar «responsable de catálogos» por un cargo funcional real (por ejemplo administrador de catálogos o gestor de datos maestros, validado con el dominio) en descripción, precondiciones y escenarios. Falta mockup como imagen o URL del listado y búsquedas; mostrar cómo se distinguen municipios homónimos. Precisar coincidencia exacta o parcial del nombre y si se muestra departamento además del código. Enlazar o incluir RC-1 y RC-2. Completar estimación relativa (0) o indicar pendiente.</t>
  </si>
  <si>
    <t xml:space="preserve">Revisión ampliada HU-027 — Proyecto de Clase y Resolución 866 de 2021.
Estructura de HU: Como/Quiero/Para, valor, prioridad, estimación, relaciones, reglas, precondiciones y dependencias presentes. Estimación 0: falta sustento o estado pendiente.
CA en BDD: 10 escenarios Dado/Cuando/Entonces presentes. Conservar los CA y precisar resultados según esta observación.
Rol: responsable de catálogos es genérico. Definir un cargo funcional real de la IPS, su función y permisos; no basta cambiar el nombre.
Funcionalidad y alcance: Consulta de municipios funcional. Mostrar departamento para homónimos; definir filtros/vigencia. Seleccionar ciudad del paciente sigue como criterio de HU-004/HU-006.
Mockup: falta imagen adjunta, pegada o URL de imagen de esta operación y sus estados, relacionada con los CA.
Complementa la revisión anterior, conservando la evaluación de estructura y BDD.</t>
  </si>
  <si>
    <t xml:space="preserve">Revisión HU-028: estructura y BDD presentes; incluye cambio de código y conservación de referencias. Cambiar «responsable de catálogos» por un cargo funcional real (por ejemplo administrador de catálogos o gestor de datos maestros, validado con el dominio) en descripción, precondiciones y escenarios. Falta mockup como imagen o URL de edición y errores. Definir regla exacta de formato de código DANE del escenario 5 y añadir intento por rol autenticado sin permisos. Enlazar o incluir RC-1, RC-3 y RC-5. Completar estimación relativa (0) o indicar pendiente.</t>
  </si>
  <si>
    <t xml:space="preserve">Revisión ampliada HU-028 — Proyecto de Clase y Resolución 866 de 2021.
Estructura de HU: Como/Quiero/Para, valor, prioridad, estimación, relaciones, reglas, precondiciones y dependencias presentes. Estimación 0: falta sustento o estado pendiente.
CA en BDD: 10 escenarios Dado/Cuando/Entonces presentes. Conservar los CA y precisar resultados según esta observación.
Rol: responsable de catálogos es genérico. Definir un cargo funcional real de la IPS, su función y permisos; no basta cambiar el nombre.
Funcionalidad y alcance: Actualización de municipios funcional. Escenario 3 reasocia registros al código nuevo: definir versionado/vigencia sin alterar residencias históricas. Validar fuente oficial y cinco posiciones con ceros iniciales.
Mockup: falta imagen adjunta, pegada o URL de imagen de esta operación y sus estados, relacionada con los CA.
Complementa la revisión anterior, conservando la evaluación de estructura y BDD.</t>
  </si>
  <si>
    <t xml:space="preserve">Revisión HU-029: estructura y BDD presentes, con confirmación, cancelación y bloqueo de municipios en uso. Cambiar «responsable de catálogos» por un cargo funcional real (por ejemplo administrador de catálogos o gestor de datos maestros, validado con el dominio) en descripción, precondiciones y escenarios. Falta mockup como imagen o URL del diálogo de eliminación, bloqueo con cantidad de registros asociados e historial. Enlazar o incluir RC-1, RC-4 y RC-5. Completar estimación relativa (0) o indicar pendiente.</t>
  </si>
  <si>
    <t xml:space="preserve">Revisión ampliada HU-029 — Proyecto de Clase y Resolución 866 de 2021.
Estructura de HU: Como/Quiero/Para, valor, prioridad, estimación, relaciones, reglas, precondiciones y dependencias presentes. Estimación 0: falta sustento o estado pendiente.
CA en BDD: 10 escenarios Dado/Cuando/Entonces presentes. Conservar los CA y precisar resultados según esta observación.
Rol: responsable de catálogos es genérico. Definir un cargo funcional real de la IPS, su función y permisos; no basta cambiar el nombre.
Funcionalidad y alcance: Retiro de municipio erróneo funcional. Bien bloqueo en uso e historial; precisar inactivación/recarga, motivo/autor y preservar valores oficiales. Gestionar catálogo sí es funcionalidad distinta de seleccionar ciudad del paciente.
Mockup: falta imagen adjunta, pegada o URL de imagen de esta operación y sus estados, relacionada con los CA.
Complementa la revisión anterior, conservando la evaluación de estructura y BDD.</t>
  </si>
  <si>
    <t xml:space="preserve">Revisión HU-030: estructura Como/Quiero/Para y BDD presentes, con jerarquía y registro de versión. Cambiar «responsable de catálogos» por un cargo funcional real (por ejemplo administrador de catálogos o gestor de datos maestros, validado con el dominio) en descripción, precondiciones y escenarios. Falta mockup como imagen o URL de carga de códigos, importación masiva y reporte de rechazados. Precisar formato de archivo/formulario, campos y orden de carga padre-hijo; identificar la versión de referencia y cómo se valida que corresponde a la requerida. Añadir intento por rol autenticado sin permisos. Enlazar o incluir RC-1, RC-3 y RC-5. Completar estimación relativa (0) o indicar pendiente.</t>
  </si>
  <si>
    <t xml:space="preserve">Trello, comentario 1: 10 oct 2026, 21:02 hora de Colombia (11 oct 2026, 02:02 UTC). Exportación HTML del 19 oct 2026, entregada por el autor.</t>
  </si>
  <si>
    <t xml:space="preserve">Revisión ampliada HU-030 — Proyecto de Clase y Resolución 866 de 2021.
Estructura de HU: Como/Quiero/Para, valor, prioridad, estimación, relaciones, reglas, precondiciones y dependencias presentes. Estimación 0: falta sustento o estado pendiente.
CA en BDD: 10 escenarios Dado/Cuando/Entonces presentes. Conservar los CA y precisar resultados según esta observación.
Rol: responsable de catálogos es genérico. Definir un cargo funcional real de la IPS, su función y permisos; no basta cambiar el nombre.
Funcionalidad y alcance: Carga de diagnósticos funcional. Bien versión/jerarquía. Precisar edición oficial adoptada, códigos/descripciones, raíces y formato de importación.
Mockup: falta imagen adjunta, pegada o URL de imagen de esta operación y sus estados, relacionada con los CA.
Complementa la revisión anterior, conservando la evaluación de estructura y BDD.</t>
  </si>
  <si>
    <t xml:space="preserve">Trello, comentario 2: 10 oct 2026, 21:58 hora de Colombia (11 oct 2026, 02:58 UTC). Exportación HTML del 19 oct 2026, entregada por el autor.</t>
  </si>
  <si>
    <t xml:space="preserve">Revisión HU-031: estructura y formato BDD presentes. Cambiar «responsable de catálogos» por un cargo funcional real (por ejemplo administrador de catálogos o gestor de datos maestros, validado con el dominio) en descripción, precondiciones y escenarios. Falta mockup como imagen o URL del árbol/listado diagnóstico, búsqueda y selección. El escenario 4 sigue pendiente de definición: concretar si el padre es seleccionable y el resultado observable, coherente con HU-007 escenario 11. Añadir resultado para búsquedas sin coincidencias y tratamiento de códigos no vigentes. Enlazar o incluir RC-1 y RC-2. Completar estimación relativa (0) o indicar pendiente.</t>
  </si>
  <si>
    <t xml:space="preserve">Sin verificar en Trello. No está en la exportación de Trello del 19 oct 2026, que trae HU-001 a HU-030.</t>
  </si>
  <si>
    <t xml:space="preserve">Revisión ampliada HU-031 — Proyecto de Clase y Resolución 866 de 2021.
Estructura de HU: Como/Quiero/Para, valor, prioridad, estimación, relaciones, reglas, precondiciones y dependencias presentes. Estimación 0: falta sustento o estado pendiente.
CA en BDD: 10 escenarios Dado/Cuando/Entonces presentes. Conservar los CA y precisar resultados según esta observación.
Rol: responsable de catálogos es genérico. Definir un cargo funcional real de la IPS, su función y permisos; no basta cambiar el nombre.
Funcionalidad y alcance: Consulta de diagnósticos funcional. Resolver escenario 4 pendiente con resultado concreto de códigos asociables para la clasificación adoptada; no trasladar automáticamente restricción de ocupaciones.
Mockup: falta imagen adjunta, pegada o URL de imagen de esta operación y sus estados, relacionada con los CA.
Complementa la revisión anterior, conservando la evaluación de estructura y BDD.</t>
  </si>
  <si>
    <t xml:space="preserve">Revisión HU-033: estructura y BDD presentes; contempla código en uso, padre con hijos, confirmación y trazabilidad. Cambiar «responsable de catálogos» por un cargo funcional real (por ejemplo administrador de catálogos o gestor de datos maestros, validado con el dominio) en descripción, precondiciones y escenarios. Falta mockup como imagen o URL del diálogo de eliminación y bloqueos con cantidad de atenciones/hijos dependientes. Añadir intento de eliminación por rol autenticado sin permisos. Enlazar o incluir RC-1, RC-4 y RC-5. Completar estimación relativa (0) o indicar pendiente.
Mockup: no se observa imagen adjunta, pegada ni URL de imagen de la interfaz. Adjuntar mockup de la operación y estados principales, vinculado a los CA.
Complementa la revisión anterior; conserva la evaluación de estructura y BDD.</t>
  </si>
  <si>
    <t xml:space="preserve">Revisión ampliada (sin encabezado)</t>
  </si>
  <si>
    <t xml:space="preserve">Estructura de HU: Como/Quiero/Para, valor, prioridad, estimación, relaciones, reglas, precondiciones y dependencias presentes. Estimación 0: falta sustento o estado pendiente.
CA en BDD: 10 escenarios Dado/Cuando/Entonces presentes. Conservar los CA y precisar resultados según esta observación.
Rol: responsable de catálogos es genérico. Definir un cargo funcional real de la IPS, su función y permisos; no basta cambiar el nombre.
Funcionalidad y alcance: Retiro de código erróneo funcional. Bien bloqueo de uso y padres con hijos, e historial. Precisar inactivación/recarga, motivo/autor y preservación de valores oficiales.
Mockup: falta imagen adjunta, pegada o URL de imagen de esta operación y sus estados, relacionada con los CA.
Complementa la revisión anterior, conservando la evaluación de estructura y BDD.</t>
  </si>
  <si>
    <t xml:space="preserve">El texto llegó sin encabezado. Se asigna a HU-033 por su contenido: retiro de código, padres con hijos. Sin verificar en Trello. No está en la exportación de Trello del 19 oct 2026, que trae HU-001 a HU-030.</t>
  </si>
  <si>
    <t xml:space="preserve">Texto</t>
  </si>
  <si>
    <t xml:space="preserve">Historias del backlog anterior que la citan (las del v3 están en las tandas)</t>
  </si>
  <si>
    <t xml:space="preserve">RC-1</t>
  </si>
  <si>
    <t xml:space="preserve">Todo dato con más de 5 opciones tiene su propio catálogo con su CRUD [2.3]. Propuestas del equipo: una historia por catálogo (D-17) y eliminar es inactivar (D-20). El CIE-10 tiene además la historia del médico que busca y elige un diagnóstico (HU-031). (Backlog v3, 2026-10-20)</t>
  </si>
  <si>
    <t xml:space="preserve">RC-2</t>
  </si>
  <si>
    <t xml:space="preserve">Un dato que sale de un catálogo solo acepta valores activos de ese catálogo. (Backlog v3, 2026-10-20)</t>
  </si>
  <si>
    <t xml:space="preserve">RC-3</t>
  </si>
  <si>
    <t xml:space="preserve">Los catálogos son los del anexo y los administra el Ministerio de Salud (artículos 6 y 8 de la Resolución 866); los prestadores no los pueden modificar, reducir ni adicionar (artículo 7). La IPS carga cada catálogo desde su archivo oficial, con su versión, y crea o actualiza un valor solo cuando cambia la fuente oficial (artículo 12). (Backlog v3, 2026-10-20)</t>
  </si>
  <si>
    <t xml:space="preserve">RC-4</t>
  </si>
  <si>
    <t xml:space="preserve">Nada se borra. Un valor de catálogo se inactiva con su motivo (RC-10), la fecha, la hora y quién lo hizo; deja de ofrecerse para registros nuevos y los registros que ya lo usan lo conservan (D-20). (Backlog v3, 2026-10-20)</t>
  </si>
  <si>
    <t xml:space="preserve">RC-5</t>
  </si>
  <si>
    <t xml:space="preserve">Toda acción queda atribuida a quien la hizo, con fecha y hora. La fecha y la hora las guarda cada historia; quién lo hizo lo agrega el inicio de sesión (HU-001, escenario 9). Lo que se registre antes de tenerlo queda sin autor. (Backlog v3, 2026-10-20)</t>
  </si>
  <si>
    <t xml:space="preserve">RC-6</t>
  </si>
  <si>
    <t xml:space="preserve">Al corregir un dato mal registrado “se agregará el nuevo dato con la fecha, hora, nombre e identificación de quien hizo la corrección” (artículo 10, parágrafo 2). El dato anterior no se borra. (Backlog v3, 2026-10-20)</t>
  </si>
  <si>
    <t xml:space="preserve">RC-7</t>
  </si>
  <si>
    <t xml:space="preserve">Cada dato se valida con los valores permitidos, el formato y la longitud de su numeral en el anexo. La tarjeta nombra el numeral y la hoja; no copia el formato. (Backlog v3, 2026-10-20)</t>
  </si>
  <si>
    <t xml:space="preserve">RC-8</t>
  </si>
  <si>
    <t xml:space="preserve">Carga desde el archivo oficial: CSV en UTF-8 separado por punto y coma, con la fuente, la dirección y la fecha de descarga, y la versión y la fecha de publicación. El sistema busca por nombre las columnas que lista cada historia e ignora las demás; si el archivo viene en Excel, se guarda como CSV UTF-8 con los códigos como texto y, si las columnas tienen otros nombres, se cambia solo el encabezado (supuesto). El código es la clave y conserva sus ceros iniciales (D-18). Se rechaza el archivo si le falta una columna, y cada fila que no cumple su numeral o repite un código; un código de solo dígitos más corto que su numeral sale con el aviso de ceros perdidos. En ocupaciones y CIE-10, los niveles de arriba se validan con la regla de su historia. El sistema muestra filas leídas, aceptadas y rechazadas con su motivo; en la primera carga se guardan las aceptadas o se cancela todo, salvo en las listas del anexo (la hoja completa) y en las ocupaciones (cantidades por nivel). (Backlog v3, 2026-10-20)</t>
  </si>
  <si>
    <t xml:space="preserve">RC-9</t>
  </si>
  <si>
    <t xml:space="preserve">Versión nueva, si la fecha de publicación es posterior a la vigente: el sistema muestra nuevos, cambios de nombre, inactivos que vuelven y retirados, avisa si deshace un cambio oficial posterior, deja anotar reemplazos y pide confirmar aparte las inactivaciones. Recarga, si la fecha es la misma: solo crea los códigos que faltan, sin inactivar nada. Rechazo, si es anterior o futura. El código de una fila rechazada conserva su nombre y su estado, y queda en la versión porque vino en su archivo (D-21). (Backlog v3, 2026-10-20)</t>
  </si>
  <si>
    <t xml:space="preserve">RC-10</t>
  </si>
  <si>
    <t xml:space="preserve">Motivos de inactivación: Retirado por la fuente oficial, con referencia; Reemplazado por, con el código nuevo y la referencia; No está en la versión, que pone el sistema; Creado por error, solo para un código que no está en la versión vigente. Un código está en la versión vigente si vino en su archivo, aunque su fila se rechazara. Reactivar pide motivo; se reactiva lo que está en la versión vigente o lo que creó un cambio oficial posterior a ella; lo inactivado con referencia oficial se reactiva solo con otra referencia o diciendo por qué no lo retiraba. El conteo de uso incluye borradores y anuladas. (Backlog v3, 2026-10-20)</t>
  </si>
  <si>
    <t xml:space="preserve">RC-11</t>
  </si>
  <si>
    <t xml:space="preserve">Un registro conserva el código y el nombre que tenía el valor el día en que se registró; si la fuente cambia el nombre después, su consulta muestra también el vigente (D-25). (Backlog v3, 2026-10-20)</t>
  </si>
  <si>
    <t xml:space="preserve">Escenario</t>
  </si>
  <si>
    <t xml:space="preserve">Dado</t>
  </si>
  <si>
    <t xml:space="preserve">Y (contexto)</t>
  </si>
  <si>
    <t xml:space="preserve">Cuando</t>
  </si>
  <si>
    <t xml:space="preserve">Entonces</t>
  </si>
  <si>
    <t xml:space="preserve">Y (resultado)</t>
  </si>
  <si>
    <t xml:space="preserve">Acceso con credenciales válidas</t>
  </si>
  <si>
    <t xml:space="preserve">que el auxiliar de admisión tiene credenciales asignadas</t>
  </si>
  <si>
    <t xml:space="preserve">se identifica con ellas</t>
  </si>
  <si>
    <t xml:space="preserve">el sistema le permite trabajar sobre la información de pacientes</t>
  </si>
  <si>
    <t xml:space="preserve">Credenciales que no corresponden</t>
  </si>
  <si>
    <t xml:space="preserve">que quien intenta entrar aporta datos inválidos</t>
  </si>
  <si>
    <t xml:space="preserve">intenta acceder</t>
  </si>
  <si>
    <t xml:space="preserve">el sistema niega el acceso</t>
  </si>
  <si>
    <t xml:space="preserve">no indica cuál de los dos datos falló</t>
  </si>
  <si>
    <t xml:space="preserve">Persona sin credenciales</t>
  </si>
  <si>
    <t xml:space="preserve">que una persona no tiene credenciales en el sistema</t>
  </si>
  <si>
    <t xml:space="preserve">no ofrece crear una cuenta [2.4]</t>
  </si>
  <si>
    <t xml:space="preserve">Operación sin haber entrado</t>
  </si>
  <si>
    <t xml:space="preserve">que nadie ha iniciado sesión</t>
  </si>
  <si>
    <t xml:space="preserve">se intenta registrar, consultar o actualizar un paciente</t>
  </si>
  <si>
    <t xml:space="preserve">el sistema no permite la acción</t>
  </si>
  <si>
    <t xml:space="preserve">Atribución de lo registrado</t>
  </si>
  <si>
    <t xml:space="preserve">que el auxiliar de admisión tiene sesión activa</t>
  </si>
  <si>
    <t xml:space="preserve">registra o actualiza un dato</t>
  </si>
  <si>
    <t xml:space="preserve">el sistema asocia esa acción a su identificación</t>
  </si>
  <si>
    <t xml:space="preserve">Cierre de sesión</t>
  </si>
  <si>
    <t xml:space="preserve">la cierra</t>
  </si>
  <si>
    <t xml:space="preserve">el sistema la termina</t>
  </si>
  <si>
    <t xml:space="preserve">exige identificarse de nuevo para cualquier acción posterior</t>
  </si>
  <si>
    <t xml:space="preserve">Continuidad entre funciones</t>
  </si>
  <si>
    <t xml:space="preserve">que el auxiliar de admisión inició sesión</t>
  </si>
  <si>
    <t xml:space="preserve">pasa de registrar a consultar</t>
  </si>
  <si>
    <t xml:space="preserve">el sistema conserva la sesión</t>
  </si>
  <si>
    <t xml:space="preserve">Intento de acceder a información clínica</t>
  </si>
  <si>
    <t xml:space="preserve">intenta consultar o registrar información clínica</t>
  </si>
  <si>
    <t xml:space="preserve">Solicitud de recuperación de clave</t>
  </si>
  <si>
    <t xml:space="preserve">que el auxiliar de admisión no recuerda su clave</t>
  </si>
  <si>
    <t xml:space="preserve">la busca en el sistema</t>
  </si>
  <si>
    <t xml:space="preserve">el sistema no ofrece esa función [2.4]</t>
  </si>
  <si>
    <t xml:space="preserve">Sesión terminada por inactividad</t>
  </si>
  <si>
    <t xml:space="preserve">que la sesión permanece inactiva</t>
  </si>
  <si>
    <t xml:space="preserve">intenta retomar una acción</t>
  </si>
  <si>
    <t xml:space="preserve">el sistema exige identificarse de nuevo</t>
  </si>
  <si>
    <t xml:space="preserve">que el médico tratante tiene credenciales asignadas</t>
  </si>
  <si>
    <t xml:space="preserve">el sistema le permite consultar y registrar información clínica</t>
  </si>
  <si>
    <t xml:space="preserve">Acceso a información clínica sin sesión</t>
  </si>
  <si>
    <t xml:space="preserve">se intenta consultar información clínica</t>
  </si>
  <si>
    <t xml:space="preserve">Atribución del registro clínico</t>
  </si>
  <si>
    <t xml:space="preserve">que el médico tratante tiene sesión activa</t>
  </si>
  <si>
    <t xml:space="preserve">registra información clínica</t>
  </si>
  <si>
    <t xml:space="preserve">el sistema asocia ese registro a su identificación</t>
  </si>
  <si>
    <t xml:space="preserve">Consulta de los datos del paciente</t>
  </si>
  <si>
    <t xml:space="preserve">consulta los datos del paciente que va a atender</t>
  </si>
  <si>
    <t xml:space="preserve">el sistema se los entrega</t>
  </si>
  <si>
    <t xml:space="preserve">Intento de actualizar datos del paciente</t>
  </si>
  <si>
    <t xml:space="preserve">intenta actualizar un dato del paciente</t>
  </si>
  <si>
    <t xml:space="preserve">el sistema no permite la acción, porque esa capacidad es del auxiliar de admisión</t>
  </si>
  <si>
    <t xml:space="preserve">el sistema la termina y exige identificarse de nuevo</t>
  </si>
  <si>
    <t xml:space="preserve">Continuidad entre pacientes</t>
  </si>
  <si>
    <t xml:space="preserve">que el médico tratante atendió a un paciente</t>
  </si>
  <si>
    <t xml:space="preserve">pasa a otro</t>
  </si>
  <si>
    <t xml:space="preserve">no mezcla la información de los dos</t>
  </si>
  <si>
    <t xml:space="preserve">que el médico tratante no recuerda su clave</t>
  </si>
  <si>
    <t xml:space="preserve">que el responsable de catálogos tiene credenciales asignadas</t>
  </si>
  <si>
    <t xml:space="preserve">el sistema le permite operar sobre los catálogos</t>
  </si>
  <si>
    <t xml:space="preserve">Cambio de catálogo sin sesión</t>
  </si>
  <si>
    <t xml:space="preserve">se intenta modificar un valor de catálogo</t>
  </si>
  <si>
    <t xml:space="preserve">Atribución del cambio</t>
  </si>
  <si>
    <t xml:space="preserve">que el responsable de catálogos tiene sesión activa</t>
  </si>
  <si>
    <t xml:space="preserve">modifica un catálogo</t>
  </si>
  <si>
    <t xml:space="preserve">el sistema asocia ese cambio a su identificación</t>
  </si>
  <si>
    <t xml:space="preserve">Intento de registrar un paciente</t>
  </si>
  <si>
    <t xml:space="preserve">intenta registrar un paciente</t>
  </si>
  <si>
    <t xml:space="preserve">Intento de consultar información clínica</t>
  </si>
  <si>
    <t xml:space="preserve">intenta consultar información clínica de un paciente</t>
  </si>
  <si>
    <t xml:space="preserve">Consulta de un catálogo</t>
  </si>
  <si>
    <t xml:space="preserve">consulta los valores de un catálogo</t>
  </si>
  <si>
    <t xml:space="preserve">el sistema se los entrega completos</t>
  </si>
  <si>
    <t xml:space="preserve">que el responsable de catálogos no recuerda su clave</t>
  </si>
  <si>
    <t xml:space="preserve">Registro con datos completos</t>
  </si>
  <si>
    <t xml:space="preserve">que el auxiliar de admisión tiene sesión iniciada</t>
  </si>
  <si>
    <t xml:space="preserve">cuenta con los datos de un paciente nuevo</t>
  </si>
  <si>
    <t xml:space="preserve">lo registra</t>
  </si>
  <si>
    <t xml:space="preserve">el sistema confirma que el registro quedó guardado</t>
  </si>
  <si>
    <t xml:space="preserve">la información queda disponible para consulta</t>
  </si>
  <si>
    <t xml:space="preserve">Paciente con más de una nacionalidad</t>
  </si>
  <si>
    <t xml:space="preserve">que el paciente tiene doble nacionalidad</t>
  </si>
  <si>
    <t xml:space="preserve">el auxiliar de admisión asocia más de un país</t>
  </si>
  <si>
    <t xml:space="preserve">el sistema los conserva todos</t>
  </si>
  <si>
    <t xml:space="preserve">Fecha y hora de nacimiento separadas</t>
  </si>
  <si>
    <t xml:space="preserve">que el auxiliar de admisión cuenta con la fecha y la hora de nacimiento</t>
  </si>
  <si>
    <t xml:space="preserve">registra ambos datos</t>
  </si>
  <si>
    <t xml:space="preserve">el sistema los conserva por separado</t>
  </si>
  <si>
    <t xml:space="preserve">permite consultarlos de forma independiente</t>
  </si>
  <si>
    <t xml:space="preserve">Registro sin hora de nacimiento</t>
  </si>
  <si>
    <t xml:space="preserve">que el auxiliar de admisión cuenta con la fecha pero no con la hora de nacimiento</t>
  </si>
  <si>
    <t xml:space="preserve">registra al paciente</t>
  </si>
  <si>
    <t xml:space="preserve">el sistema acepta el registro con la fecha sola</t>
  </si>
  <si>
    <t xml:space="preserve">no bloquea el registro por la hora faltante</t>
  </si>
  <si>
    <t xml:space="preserve">Ocupación limitada a categorías hijas</t>
  </si>
  <si>
    <t xml:space="preserve">que el auxiliar de admisión está registrando la ocupación</t>
  </si>
  <si>
    <t xml:space="preserve">intenta asociar una categoría padre</t>
  </si>
  <si>
    <t xml:space="preserve">el sistema rechaza la asociación</t>
  </si>
  <si>
    <t xml:space="preserve">solo admite categorías hijas</t>
  </si>
  <si>
    <t xml:space="preserve">Paciente con más de una discapacidad</t>
  </si>
  <si>
    <t xml:space="preserve">que el paciente presenta más de una categoría de discapacidad</t>
  </si>
  <si>
    <t xml:space="preserve">el auxiliar de admisión las asocia</t>
  </si>
  <si>
    <t xml:space="preserve">el sistema las conserva todas</t>
  </si>
  <si>
    <t xml:space="preserve">Ciudad con su código DANE</t>
  </si>
  <si>
    <t xml:space="preserve">que el auxiliar de admisión indica la ciudad de residencia</t>
  </si>
  <si>
    <t xml:space="preserve">completa ese dato</t>
  </si>
  <si>
    <t xml:space="preserve">el sistema conserva la ciudad junto con su código DANE</t>
  </si>
  <si>
    <t xml:space="preserve">Valor fuera del catálogo</t>
  </si>
  <si>
    <t xml:space="preserve">que el auxiliar de admisión intenta registrar un valor que no está en el catálogo</t>
  </si>
  <si>
    <t xml:space="preserve">intenta confirmarlo</t>
  </si>
  <si>
    <t xml:space="preserve">el sistema lo rechaza</t>
  </si>
  <si>
    <t xml:space="preserve">Datos obligatorios incompletos</t>
  </si>
  <si>
    <t xml:space="preserve">que falta un dato obligatorio</t>
  </si>
  <si>
    <t xml:space="preserve">el auxiliar de admisión intenta confirmar el registro</t>
  </si>
  <si>
    <t xml:space="preserve">el sistema no lo completa</t>
  </si>
  <si>
    <t xml:space="preserve">señala qué falta</t>
  </si>
  <si>
    <t xml:space="preserve">Conservación de los datos válidos</t>
  </si>
  <si>
    <t xml:space="preserve">que un dato incumple una restricción y los demás son correctos</t>
  </si>
  <si>
    <t xml:space="preserve">conserva los válidos</t>
  </si>
  <si>
    <t xml:space="preserve">señala solo el que debe corregirse</t>
  </si>
  <si>
    <t xml:space="preserve">Paciente que ya existe</t>
  </si>
  <si>
    <t xml:space="preserve">que el paciente ya tiene registro</t>
  </si>
  <si>
    <t xml:space="preserve">el auxiliar de admisión intenta registrarlo como nuevo</t>
  </si>
  <si>
    <t xml:space="preserve">el sistema advierte que ya existe</t>
  </si>
  <si>
    <t xml:space="preserve">no crea un duplicado</t>
  </si>
  <si>
    <t xml:space="preserve">Ciudad sin código DANE en el catálogo</t>
  </si>
  <si>
    <t xml:space="preserve">que la ciudad que el paciente indica está en el catálogo sin su código DANE</t>
  </si>
  <si>
    <t xml:space="preserve">el auxiliar de admisión intenta asociarla</t>
  </si>
  <si>
    <t xml:space="preserve">señala que la ciudad se registra junto con su código [2.1]</t>
  </si>
  <si>
    <t xml:space="preserve">Consulta de un paciente registrado</t>
  </si>
  <si>
    <t xml:space="preserve">que el paciente tiene registro previo</t>
  </si>
  <si>
    <t xml:space="preserve">el auxiliar de admisión lo consulta</t>
  </si>
  <si>
    <t xml:space="preserve">el sistema entrega su información completa</t>
  </si>
  <si>
    <t xml:space="preserve">Paciente que no existe</t>
  </si>
  <si>
    <t xml:space="preserve">que el paciente no tiene registro</t>
  </si>
  <si>
    <t xml:space="preserve">el auxiliar de admisión lo busca</t>
  </si>
  <si>
    <t xml:space="preserve">el sistema informa que no existe</t>
  </si>
  <si>
    <t xml:space="preserve">no entrega información de otro paciente</t>
  </si>
  <si>
    <t xml:space="preserve">Paciente con varias nacionalidades</t>
  </si>
  <si>
    <t xml:space="preserve">que el paciente tiene más de una nacionalidad</t>
  </si>
  <si>
    <t xml:space="preserve">el sistema las entrega todas</t>
  </si>
  <si>
    <t xml:space="preserve">Paciente con varias discapacidades</t>
  </si>
  <si>
    <t xml:space="preserve">que el paciente tiene más de una categoría de discapacidad</t>
  </si>
  <si>
    <t xml:space="preserve">que el paciente tiene fecha y hora de nacimiento registradas</t>
  </si>
  <si>
    <t xml:space="preserve">el sistema entrega los dos datos sin mezclarlos</t>
  </si>
  <si>
    <t xml:space="preserve">Ciudad con su código</t>
  </si>
  <si>
    <t xml:space="preserve">que el paciente tiene ciudad de residencia registrada</t>
  </si>
  <si>
    <t xml:space="preserve">el sistema entrega la ciudad junto con su código DANE</t>
  </si>
  <si>
    <t xml:space="preserve">Paciente con datos pendientes</t>
  </si>
  <si>
    <t xml:space="preserve">que el registro quedó incompleto</t>
  </si>
  <si>
    <t xml:space="preserve">el sistema entrega lo registrado</t>
  </si>
  <si>
    <t xml:space="preserve">Consulta sin sesión iniciada</t>
  </si>
  <si>
    <t xml:space="preserve">se intenta consultar a un paciente</t>
  </si>
  <si>
    <t xml:space="preserve">Paciente sin información clínica</t>
  </si>
  <si>
    <t xml:space="preserve">que el paciente está registrado pero nunca fue atendido</t>
  </si>
  <si>
    <t xml:space="preserve">el sistema entrega sus datos</t>
  </si>
  <si>
    <t xml:space="preserve">indica que no tiene información clínica asociada</t>
  </si>
  <si>
    <t xml:space="preserve">La consulta no modifica el registro</t>
  </si>
  <si>
    <t xml:space="preserve">que el auxiliar de admisión consulta a un paciente</t>
  </si>
  <si>
    <t xml:space="preserve">termina la consulta</t>
  </si>
  <si>
    <t xml:space="preserve">la información queda igual que antes</t>
  </si>
  <si>
    <t xml:space="preserve">Actualización de un dato</t>
  </si>
  <si>
    <t xml:space="preserve">el auxiliar de admisión corrige uno de sus datos</t>
  </si>
  <si>
    <t xml:space="preserve">el sistema conserva el valor nuevo</t>
  </si>
  <si>
    <t xml:space="preserve">la consulta posterior entrega el corregido</t>
  </si>
  <si>
    <t xml:space="preserve">El valor anterior no se pierde</t>
  </si>
  <si>
    <t xml:space="preserve">que un dato fue corregido</t>
  </si>
  <si>
    <t xml:space="preserve">se consulta el historial de ese dato</t>
  </si>
  <si>
    <t xml:space="preserve">el sistema entrega el vigente y el anterior, con la fecha y quién lo corrigió</t>
  </si>
  <si>
    <t xml:space="preserve">Agregar una nacionalidad</t>
  </si>
  <si>
    <t xml:space="preserve">que el paciente tiene una nacionalidad registrada</t>
  </si>
  <si>
    <t xml:space="preserve">el auxiliar de admisión agrega otra</t>
  </si>
  <si>
    <t xml:space="preserve">el sistema conserva las dos</t>
  </si>
  <si>
    <t xml:space="preserve">Retirar una discapacidad</t>
  </si>
  <si>
    <t xml:space="preserve">que el paciente tiene varias categorías registradas</t>
  </si>
  <si>
    <t xml:space="preserve">el auxiliar de admisión retira una</t>
  </si>
  <si>
    <t xml:space="preserve">el sistema conserva las demás</t>
  </si>
  <si>
    <t xml:space="preserve">Actualización que incumple la restricción de ocupación</t>
  </si>
  <si>
    <t xml:space="preserve">que el auxiliar de admisión intenta poner una categoría padre</t>
  </si>
  <si>
    <t xml:space="preserve">confirma el cambio</t>
  </si>
  <si>
    <t xml:space="preserve">conserva el valor anterior</t>
  </si>
  <si>
    <t xml:space="preserve">Cambio de ciudad de residencia</t>
  </si>
  <si>
    <t xml:space="preserve">que el paciente cambió de ciudad</t>
  </si>
  <si>
    <t xml:space="preserve">el auxiliar de admisión actualiza ese dato</t>
  </si>
  <si>
    <t xml:space="preserve">el sistema conserva la ciudad nueva con su código DANE</t>
  </si>
  <si>
    <t xml:space="preserve">Actualización que deja vacío un dato obligatorio</t>
  </si>
  <si>
    <t xml:space="preserve">que el auxiliar de admisión intenta borrar un dato obligatorio</t>
  </si>
  <si>
    <t xml:space="preserve">el sistema no lo acepta</t>
  </si>
  <si>
    <t xml:space="preserve">Actualización abandonada</t>
  </si>
  <si>
    <t xml:space="preserve">que el auxiliar de admisión modificó datos sin confirmar</t>
  </si>
  <si>
    <t xml:space="preserve">abandona la actualización</t>
  </si>
  <si>
    <t xml:space="preserve">el sistema conserva los valores anteriores</t>
  </si>
  <si>
    <t xml:space="preserve">Actualización de un paciente que no existe</t>
  </si>
  <si>
    <t xml:space="preserve">se intenta actualizar su información</t>
  </si>
  <si>
    <t xml:space="preserve">La actualización no afecta la información clínica</t>
  </si>
  <si>
    <t xml:space="preserve">que el paciente tiene información clínica asociada</t>
  </si>
  <si>
    <t xml:space="preserve">el auxiliar de admisión actualiza sus datos</t>
  </si>
  <si>
    <t xml:space="preserve">la información clínica queda intacta y sigue asociada al mismo paciente</t>
  </si>
  <si>
    <t xml:space="preserve">Registro de una atención con diagnóstico</t>
  </si>
  <si>
    <t xml:space="preserve">que el médico tratante tiene sesión iniciada</t>
  </si>
  <si>
    <t xml:space="preserve">el paciente tiene registro previo</t>
  </si>
  <si>
    <t xml:space="preserve">registra la atención con su diagnóstico</t>
  </si>
  <si>
    <t xml:space="preserve">el sistema confirma que quedó guardada</t>
  </si>
  <si>
    <t xml:space="preserve">la asocia a ese paciente</t>
  </si>
  <si>
    <t xml:space="preserve">Atención de un paciente sin registro</t>
  </si>
  <si>
    <t xml:space="preserve">el médico tratante intenta registrar una atención</t>
  </si>
  <si>
    <t xml:space="preserve">señala que el paciente debe registrarse primero</t>
  </si>
  <si>
    <t xml:space="preserve">Diagnóstico con un código vigente</t>
  </si>
  <si>
    <t xml:space="preserve">que el catálogo CIE-10 está cargado</t>
  </si>
  <si>
    <t xml:space="preserve">el médico tratante asocia un código diagnóstico</t>
  </si>
  <si>
    <t xml:space="preserve">el sistema lo acepta y lo asocia a la atención</t>
  </si>
  <si>
    <t xml:space="preserve">Código fuera de la versión vigente</t>
  </si>
  <si>
    <t xml:space="preserve">que el código indicado no pertenece a la última versión del CIE-10</t>
  </si>
  <si>
    <t xml:space="preserve">el médico tratante intenta asociarlo</t>
  </si>
  <si>
    <t xml:space="preserve">el sistema lo rechaza [2.2]</t>
  </si>
  <si>
    <t xml:space="preserve">solicita un código de la versión vigente</t>
  </si>
  <si>
    <t xml:space="preserve">Conservación de la jerarquía padre-hijo</t>
  </si>
  <si>
    <t xml:space="preserve">que el código diagnóstico tiene un código padre</t>
  </si>
  <si>
    <t xml:space="preserve">el médico tratante lo registra</t>
  </si>
  <si>
    <t xml:space="preserve">el sistema conserva la relación entre el código y su categoría padre [2.2]</t>
  </si>
  <si>
    <t xml:space="preserve">Diagnóstico obligatorio faltante</t>
  </si>
  <si>
    <t xml:space="preserve">que el médico tratante no indicó diagnóstico</t>
  </si>
  <si>
    <t xml:space="preserve">intenta confirmar el registro</t>
  </si>
  <si>
    <t xml:space="preserve">señala que el diagnóstico es obligatorio</t>
  </si>
  <si>
    <t xml:space="preserve">Segunda atención del mismo paciente</t>
  </si>
  <si>
    <t xml:space="preserve">que el paciente ya tuvo una atención registrada</t>
  </si>
  <si>
    <t xml:space="preserve">el médico tratante registra otra</t>
  </si>
  <si>
    <t xml:space="preserve">el sistema la agrega como atención distinta</t>
  </si>
  <si>
    <t xml:space="preserve">no reemplaza la anterior</t>
  </si>
  <si>
    <t xml:space="preserve">Atribución del registro</t>
  </si>
  <si>
    <t xml:space="preserve">que el médico tratante registra una atención</t>
  </si>
  <si>
    <t xml:space="preserve">el sistema la guarda</t>
  </si>
  <si>
    <t xml:space="preserve">queda asociada a su identificación</t>
  </si>
  <si>
    <t xml:space="preserve">Registro sin sesión iniciada</t>
  </si>
  <si>
    <t xml:space="preserve">se intenta registrar información clínica</t>
  </si>
  <si>
    <t xml:space="preserve">Catálogo CIE-10 no disponible</t>
  </si>
  <si>
    <t xml:space="preserve">que el catálogo CIE-10 no está disponible</t>
  </si>
  <si>
    <t xml:space="preserve">el médico tratante intenta asociar un diagnóstico</t>
  </si>
  <si>
    <t xml:space="preserve">el sistema no permite completar ese dato</t>
  </si>
  <si>
    <t xml:space="preserve">conserva el resto de la atención para terminarla después</t>
  </si>
  <si>
    <t xml:space="preserve">Diagnóstico con un código de categoría padre</t>
  </si>
  <si>
    <t xml:space="preserve">que el médico tratante indica un código que es categoría padre en la jerarquía</t>
  </si>
  <si>
    <t xml:space="preserve">intenta asociarlo a la atención</t>
  </si>
  <si>
    <t xml:space="preserve">el sistema aplica el criterio que el equipo haya definido para el CIE-10</t>
  </si>
  <si>
    <t xml:space="preserve">Pendiente de definición. El numeral 2.2 exige respetar la jerarquía padre-hijo pero no dice si el padre es asociable, a diferencia de la ocupación, donde el numeral 2.1 la limita a las categorías hijas. Ver HU-031, escenario 4.</t>
  </si>
  <si>
    <t xml:space="preserve">Consulta de las atenciones de un paciente</t>
  </si>
  <si>
    <t xml:space="preserve">que el paciente tiene atenciones registradas</t>
  </si>
  <si>
    <t xml:space="preserve">el médico tratante las consulta</t>
  </si>
  <si>
    <t xml:space="preserve">el sistema las entrega con su fecha y su diagnóstico</t>
  </si>
  <si>
    <t xml:space="preserve">Orden cronológico</t>
  </si>
  <si>
    <t xml:space="preserve">que el paciente tiene varias atenciones registradas</t>
  </si>
  <si>
    <t xml:space="preserve">el sistema las presenta en orden cronológico</t>
  </si>
  <si>
    <t xml:space="preserve">Paciente registrado sin atenciones</t>
  </si>
  <si>
    <t xml:space="preserve">que el paciente tiene registro pero ninguna atención</t>
  </si>
  <si>
    <t xml:space="preserve">el médico tratante consulta su información clínica</t>
  </si>
  <si>
    <t xml:space="preserve">el sistema informa que no tiene atenciones registradas</t>
  </si>
  <si>
    <t xml:space="preserve">Diagnóstico con su jerarquía</t>
  </si>
  <si>
    <t xml:space="preserve">que una atención tiene un diagnóstico con código padre</t>
  </si>
  <si>
    <t xml:space="preserve">el médico tratante la consulta</t>
  </si>
  <si>
    <t xml:space="preserve">el sistema entrega el código y su categoría padre [2.2]</t>
  </si>
  <si>
    <t xml:space="preserve">Atención con varios diagnósticos</t>
  </si>
  <si>
    <t xml:space="preserve">que una atención tiene más de un diagnóstico asociado</t>
  </si>
  <si>
    <t xml:space="preserve">el sistema los entrega todos</t>
  </si>
  <si>
    <t xml:space="preserve">Historial de modificaciones</t>
  </si>
  <si>
    <t xml:space="preserve">que un dato de una atención fue modificado</t>
  </si>
  <si>
    <t xml:space="preserve">el sistema entrega el valor vigente</t>
  </si>
  <si>
    <t xml:space="preserve">conserva el anterior con la fecha y quién lo modificó</t>
  </si>
  <si>
    <t xml:space="preserve">se busca su información clínica</t>
  </si>
  <si>
    <t xml:space="preserve">Quién registró cada atención</t>
  </si>
  <si>
    <t xml:space="preserve">que las atenciones fueron registradas por personas distintas</t>
  </si>
  <si>
    <t xml:space="preserve">el sistema indica a quién se atribuye cada registro</t>
  </si>
  <si>
    <t xml:space="preserve">La consulta no modifica la información</t>
  </si>
  <si>
    <t xml:space="preserve">que el médico tratante consulta la información clínica</t>
  </si>
  <si>
    <t xml:space="preserve">las atenciones quedan igual que antes</t>
  </si>
  <si>
    <t xml:space="preserve">Modificación de un dato de la atención</t>
  </si>
  <si>
    <t xml:space="preserve">que un dato de la atención quedó mal registrado</t>
  </si>
  <si>
    <t xml:space="preserve">el médico tratante lo modifica</t>
  </si>
  <si>
    <t xml:space="preserve">El registro original no se pierde</t>
  </si>
  <si>
    <t xml:space="preserve">que un dato fue modificado</t>
  </si>
  <si>
    <t xml:space="preserve">se consulta esa atención</t>
  </si>
  <si>
    <t xml:space="preserve">el sistema entrega el valor vigente y el anterior</t>
  </si>
  <si>
    <t xml:space="preserve">Modificación del diagnóstico por otro código vigente</t>
  </si>
  <si>
    <t xml:space="preserve">que el diagnóstico registrado era incorrecto</t>
  </si>
  <si>
    <t xml:space="preserve">el médico tratante lo cambia por otro código de la versión vigente</t>
  </si>
  <si>
    <t xml:space="preserve">el sistema acepta el nuevo código</t>
  </si>
  <si>
    <t xml:space="preserve">conserva el anterior</t>
  </si>
  <si>
    <t xml:space="preserve">Modificación con un código fuera de la versión vigente</t>
  </si>
  <si>
    <t xml:space="preserve">que el médico tratante intenta usar un código que no pertenece a la última versión</t>
  </si>
  <si>
    <t xml:space="preserve">confirma la modificación</t>
  </si>
  <si>
    <t xml:space="preserve">el sistema la rechaza [2.2]</t>
  </si>
  <si>
    <t xml:space="preserve">conserva el diagnóstico anterior</t>
  </si>
  <si>
    <t xml:space="preserve">La jerarquía se conserva al modificar</t>
  </si>
  <si>
    <t xml:space="preserve">que el nuevo código diagnóstico tiene un código padre</t>
  </si>
  <si>
    <t xml:space="preserve">el médico tratante confirma la modificación</t>
  </si>
  <si>
    <t xml:space="preserve">el sistema conserva la relación padre-hijo del nuevo código [2.2]</t>
  </si>
  <si>
    <t xml:space="preserve">Modificación que deja vacío el diagnóstico</t>
  </si>
  <si>
    <t xml:space="preserve">que el médico tratante intenta borrar el diagnóstico de una atención</t>
  </si>
  <si>
    <t xml:space="preserve">Modificación abandonada</t>
  </si>
  <si>
    <t xml:space="preserve">que el médico tratante modificó datos sin confirmar</t>
  </si>
  <si>
    <t xml:space="preserve">abandona la modificación</t>
  </si>
  <si>
    <t xml:space="preserve">Atribución de la modificación</t>
  </si>
  <si>
    <t xml:space="preserve">que el médico tratante modifica un dato de una atención</t>
  </si>
  <si>
    <t xml:space="preserve">Modificación sin sesión iniciada</t>
  </si>
  <si>
    <t xml:space="preserve">se intenta modificar información clínica</t>
  </si>
  <si>
    <t xml:space="preserve">La modificación no afecta los datos del paciente</t>
  </si>
  <si>
    <t xml:space="preserve">que el médico tratante modifica una atención</t>
  </si>
  <si>
    <t xml:space="preserve">el sistema guarda el cambio</t>
  </si>
  <si>
    <t xml:space="preserve">los datos del paciente quedan intactos</t>
  </si>
  <si>
    <t xml:space="preserve">la atención sigue asociada al mismo paciente</t>
  </si>
  <si>
    <t xml:space="preserve">Registro de la oposición</t>
  </si>
  <si>
    <t xml:space="preserve">que el paciente manifestó su oposición a ser donante</t>
  </si>
  <si>
    <t xml:space="preserve">el auxiliar de admisión la registra</t>
  </si>
  <si>
    <t xml:space="preserve">Registro de la no oposición</t>
  </si>
  <si>
    <t xml:space="preserve">que el paciente manifestó que no se opone</t>
  </si>
  <si>
    <t xml:space="preserve">el auxiliar de admisión lo registra</t>
  </si>
  <si>
    <t xml:space="preserve">el sistema conserva esa manifestación</t>
  </si>
  <si>
    <t xml:space="preserve">la distingue de no tener ninguna registrada</t>
  </si>
  <si>
    <t xml:space="preserve">Paciente sin manifestación registrada</t>
  </si>
  <si>
    <t xml:space="preserve">que el paciente no ha manifestado nada</t>
  </si>
  <si>
    <t xml:space="preserve">se consulta su registro</t>
  </si>
  <si>
    <t xml:space="preserve">el sistema indica que no hay manifestación</t>
  </si>
  <si>
    <t xml:space="preserve">no la presenta como una negativa</t>
  </si>
  <si>
    <t xml:space="preserve">Fecha de la manifestación</t>
  </si>
  <si>
    <t xml:space="preserve">que el auxiliar de admisión registra la oposición</t>
  </si>
  <si>
    <t xml:space="preserve">confirma el registro</t>
  </si>
  <si>
    <t xml:space="preserve">el sistema conserva la fecha en que se manifestó</t>
  </si>
  <si>
    <t xml:space="preserve">Paciente que ya tiene manifestación registrada</t>
  </si>
  <si>
    <t xml:space="preserve">que el paciente ya tiene una manifestación</t>
  </si>
  <si>
    <t xml:space="preserve">el auxiliar de admisión intenta registrar otra</t>
  </si>
  <si>
    <t xml:space="preserve">remite a la actualización en lugar de crear una segunda</t>
  </si>
  <si>
    <t xml:space="preserve">Registro para un paciente que no existe</t>
  </si>
  <si>
    <t xml:space="preserve">se intenta registrar su oposición</t>
  </si>
  <si>
    <t xml:space="preserve">que el auxiliar de admisión registra la manifestación</t>
  </si>
  <si>
    <t xml:space="preserve">se intenta registrar una oposición</t>
  </si>
  <si>
    <t xml:space="preserve">Registro incompleto</t>
  </si>
  <si>
    <t xml:space="preserve">que falta un dato obligatorio de la manifestación</t>
  </si>
  <si>
    <t xml:space="preserve">el auxiliar de admisión intenta confirmar</t>
  </si>
  <si>
    <t xml:space="preserve">el sistema no completa el registro</t>
  </si>
  <si>
    <t xml:space="preserve">La estructura es independiente del registro general</t>
  </si>
  <si>
    <t xml:space="preserve">que el paciente tiene su registro general completo</t>
  </si>
  <si>
    <t xml:space="preserve">el auxiliar de admisión registra la oposición</t>
  </si>
  <si>
    <t xml:space="preserve">el sistema la guarda como estructura separada [2.1]</t>
  </si>
  <si>
    <t xml:space="preserve">el registro general del paciente no cambia</t>
  </si>
  <si>
    <t xml:space="preserve">Consulta de una oposición registrada</t>
  </si>
  <si>
    <t xml:space="preserve">que el paciente tiene su oposición registrada</t>
  </si>
  <si>
    <t xml:space="preserve">el auxiliar de admisión la consulta</t>
  </si>
  <si>
    <t xml:space="preserve">el sistema entrega la manifestación con su fecha</t>
  </si>
  <si>
    <t xml:space="preserve">Consulta cuando no hay manifestación</t>
  </si>
  <si>
    <t xml:space="preserve">que el paciente no tiene manifestación registrada</t>
  </si>
  <si>
    <t xml:space="preserve">Consulta de una no oposición</t>
  </si>
  <si>
    <t xml:space="preserve">el sistema entrega esa manifestación tal como fue registrada</t>
  </si>
  <si>
    <t xml:space="preserve">Quién registró la manifestación</t>
  </si>
  <si>
    <t xml:space="preserve">que la manifestación fue registrada por alguien</t>
  </si>
  <si>
    <t xml:space="preserve">el sistema indica a quién se atribuye el registro</t>
  </si>
  <si>
    <t xml:space="preserve">Historial de cambios</t>
  </si>
  <si>
    <t xml:space="preserve">que la manifestación fue actualizada antes</t>
  </si>
  <si>
    <t xml:space="preserve">el sistema entrega la vigente</t>
  </si>
  <si>
    <t xml:space="preserve">conserva la anterior con su fecha</t>
  </si>
  <si>
    <t xml:space="preserve">Consulta de un paciente que no existe</t>
  </si>
  <si>
    <t xml:space="preserve">se consulta su oposición</t>
  </si>
  <si>
    <t xml:space="preserve">el sistema informa que el paciente no existe</t>
  </si>
  <si>
    <t xml:space="preserve">se intenta consultar una oposición</t>
  </si>
  <si>
    <t xml:space="preserve">La consulta no modifica la manifestación</t>
  </si>
  <si>
    <t xml:space="preserve">que el auxiliar de admisión consulta la oposición</t>
  </si>
  <si>
    <t xml:space="preserve">la manifestación queda igual que antes</t>
  </si>
  <si>
    <t xml:space="preserve">Consulta junto con el registro del paciente</t>
  </si>
  <si>
    <t xml:space="preserve">que el auxiliar de admisión consulta al paciente</t>
  </si>
  <si>
    <t xml:space="preserve">revisa su información</t>
  </si>
  <si>
    <t xml:space="preserve">el sistema indica si tiene manifestación registrada</t>
  </si>
  <si>
    <t xml:space="preserve">Manifestación eliminada</t>
  </si>
  <si>
    <t xml:space="preserve">que la manifestación fue eliminada antes</t>
  </si>
  <si>
    <t xml:space="preserve">el sistema informa que no hay manifestación vigente</t>
  </si>
  <si>
    <t xml:space="preserve">Cambio de oposición a no oposición</t>
  </si>
  <si>
    <t xml:space="preserve">que el paciente tenía registrada su oposición</t>
  </si>
  <si>
    <t xml:space="preserve">manifiesta que ya no se opone y el auxiliar de admisión lo actualiza</t>
  </si>
  <si>
    <t xml:space="preserve">el sistema conserva la manifestación nueva como vigente</t>
  </si>
  <si>
    <t xml:space="preserve">La manifestación anterior no se pierde</t>
  </si>
  <si>
    <t xml:space="preserve">que la manifestación fue actualizada</t>
  </si>
  <si>
    <t xml:space="preserve">se consulta su historial</t>
  </si>
  <si>
    <t xml:space="preserve">el sistema entrega la vigente y la anterior con sus fechas</t>
  </si>
  <si>
    <t xml:space="preserve">Actualización de la fecha de la manifestación</t>
  </si>
  <si>
    <t xml:space="preserve">que el auxiliar de admisión actualiza la manifestación</t>
  </si>
  <si>
    <t xml:space="preserve">el sistema conserva la fecha de la nueva manifestación</t>
  </si>
  <si>
    <t xml:space="preserve">Actualización de un paciente sin manifestación previa</t>
  </si>
  <si>
    <t xml:space="preserve">se intenta actualizarla</t>
  </si>
  <si>
    <t xml:space="preserve">remite al registro en lugar de la actualización</t>
  </si>
  <si>
    <t xml:space="preserve">que el auxiliar de admisión modificó la manifestación sin confirmar</t>
  </si>
  <si>
    <t xml:space="preserve">el sistema conserva la manifestación anterior</t>
  </si>
  <si>
    <t xml:space="preserve">Atribución de la actualización</t>
  </si>
  <si>
    <t xml:space="preserve">Actualización sin sesión iniciada</t>
  </si>
  <si>
    <t xml:space="preserve">se intenta actualizar una oposición</t>
  </si>
  <si>
    <t xml:space="preserve">Actualización que deja la manifestación vacía</t>
  </si>
  <si>
    <t xml:space="preserve">que el auxiliar de admisión intenta dejar la manifestación sin valor</t>
  </si>
  <si>
    <t xml:space="preserve">señala que debe indicar una manifestación o eliminarla</t>
  </si>
  <si>
    <t xml:space="preserve">La actualización no afecta el registro general</t>
  </si>
  <si>
    <t xml:space="preserve">que el auxiliar de admisión actualiza la oposición</t>
  </si>
  <si>
    <t xml:space="preserve">los demás datos del paciente quedan intactos</t>
  </si>
  <si>
    <t xml:space="preserve">se intenta actualizar su oposición</t>
  </si>
  <si>
    <t xml:space="preserve">Eliminación de una manifestación</t>
  </si>
  <si>
    <t xml:space="preserve">que la manifestación se registró por error</t>
  </si>
  <si>
    <t xml:space="preserve">el auxiliar de admisión la elimina</t>
  </si>
  <si>
    <t xml:space="preserve">el sistema deja de presentarla como vigente</t>
  </si>
  <si>
    <t xml:space="preserve">Confirmación antes de eliminar</t>
  </si>
  <si>
    <t xml:space="preserve">que el auxiliar de admisión solicita eliminar la manifestación</t>
  </si>
  <si>
    <t xml:space="preserve">el sistema pide confirmación</t>
  </si>
  <si>
    <t xml:space="preserve">no elimina nada hasta que el auxiliar la confirme</t>
  </si>
  <si>
    <t xml:space="preserve">Eliminación cancelada</t>
  </si>
  <si>
    <t xml:space="preserve">que el auxiliar de admisión solicitó eliminar la manifestación</t>
  </si>
  <si>
    <t xml:space="preserve">cancela antes de confirmar</t>
  </si>
  <si>
    <t xml:space="preserve">la manifestación queda intacta</t>
  </si>
  <si>
    <t xml:space="preserve">Rastro de la eliminación</t>
  </si>
  <si>
    <t xml:space="preserve">que la manifestación fue eliminada</t>
  </si>
  <si>
    <t xml:space="preserve">se consulta el historial</t>
  </si>
  <si>
    <t xml:space="preserve">el sistema conserva que existió, cuándo se eliminó y quién lo hizo</t>
  </si>
  <si>
    <t xml:space="preserve">Eliminación de una manifestación que no existe</t>
  </si>
  <si>
    <t xml:space="preserve">se intenta eliminar</t>
  </si>
  <si>
    <t xml:space="preserve">el sistema informa que no hay nada que eliminar</t>
  </si>
  <si>
    <t xml:space="preserve">Consulta después de eliminar</t>
  </si>
  <si>
    <t xml:space="preserve">el sistema informa que el paciente no tiene manifestación vigente</t>
  </si>
  <si>
    <t xml:space="preserve">Registro después de eliminar</t>
  </si>
  <si>
    <t xml:space="preserve">el auxiliar de admisión registra una nueva</t>
  </si>
  <si>
    <t xml:space="preserve">el sistema la acepta como manifestación vigente</t>
  </si>
  <si>
    <t xml:space="preserve">Eliminación sin sesión iniciada</t>
  </si>
  <si>
    <t xml:space="preserve">se intenta eliminar una manifestación</t>
  </si>
  <si>
    <t xml:space="preserve">La eliminación no afecta el registro del paciente</t>
  </si>
  <si>
    <t xml:space="preserve">que el auxiliar de admisión elimina la manifestación</t>
  </si>
  <si>
    <t xml:space="preserve">Eliminación de un paciente que no existe</t>
  </si>
  <si>
    <t xml:space="preserve">se intenta eliminar su manifestación</t>
  </si>
  <si>
    <t xml:space="preserve">Registro de la existencia del documento</t>
  </si>
  <si>
    <t xml:space="preserve">que el paciente tiene documento de voluntad anticipada</t>
  </si>
  <si>
    <t xml:space="preserve">el sistema confirma que quedó guardado</t>
  </si>
  <si>
    <t xml:space="preserve">lo asocia a ese paciente</t>
  </si>
  <si>
    <t xml:space="preserve">Registro de que no tiene documento</t>
  </si>
  <si>
    <t xml:space="preserve">que el paciente manifiesta no tener documento</t>
  </si>
  <si>
    <t xml:space="preserve">la distingue de no haber preguntado</t>
  </si>
  <si>
    <t xml:space="preserve">Fecha de suscripción del documento</t>
  </si>
  <si>
    <t xml:space="preserve">que el auxiliar de admisión registra el documento</t>
  </si>
  <si>
    <t xml:space="preserve">indica la fecha en que fue suscrito</t>
  </si>
  <si>
    <t xml:space="preserve">el sistema la conserva asociada al registro</t>
  </si>
  <si>
    <t xml:space="preserve">Prestador donde reposa el documento</t>
  </si>
  <si>
    <t xml:space="preserve">que el documento reposa en otro prestador</t>
  </si>
  <si>
    <t xml:space="preserve">el sistema conserva el código del prestador donde se encuentra</t>
  </si>
  <si>
    <t xml:space="preserve">Paciente que ya tiene documento registrado</t>
  </si>
  <si>
    <t xml:space="preserve">que el paciente ya tiene un registro de voluntad anticipada</t>
  </si>
  <si>
    <t xml:space="preserve">el auxiliar de admisión intenta registrar otro</t>
  </si>
  <si>
    <t xml:space="preserve">remite a la actualización</t>
  </si>
  <si>
    <t xml:space="preserve">se intenta registrar su voluntad anticipada</t>
  </si>
  <si>
    <t xml:space="preserve">el sistema lo guarda</t>
  </si>
  <si>
    <t xml:space="preserve">queda asociado a su identificación</t>
  </si>
  <si>
    <t xml:space="preserve">se intenta registrar una voluntad anticipada</t>
  </si>
  <si>
    <t xml:space="preserve">que falta un dato obligatorio del documento</t>
  </si>
  <si>
    <t xml:space="preserve">el auxiliar de admisión registra la voluntad anticipada</t>
  </si>
  <si>
    <t xml:space="preserve">Consulta de un documento registrado</t>
  </si>
  <si>
    <t xml:space="preserve">que el paciente tiene voluntad anticipada registrada</t>
  </si>
  <si>
    <t xml:space="preserve">el sistema entrega el registro con su fecha de suscripción</t>
  </si>
  <si>
    <t xml:space="preserve">Consulta cuando no hay registro</t>
  </si>
  <si>
    <t xml:space="preserve">que el paciente no tiene voluntad anticipada registrada</t>
  </si>
  <si>
    <t xml:space="preserve">el sistema informa que no existe registro</t>
  </si>
  <si>
    <t xml:space="preserve">no lo presenta como que el paciente no tiene documento</t>
  </si>
  <si>
    <t xml:space="preserve">que el registro indica dónde reposa el documento</t>
  </si>
  <si>
    <t xml:space="preserve">el sistema entrega el código del prestador</t>
  </si>
  <si>
    <t xml:space="preserve">Quién registró el documento</t>
  </si>
  <si>
    <t xml:space="preserve">que el registro fue hecho por alguien</t>
  </si>
  <si>
    <t xml:space="preserve">el sistema indica a quién se atribuye</t>
  </si>
  <si>
    <t xml:space="preserve">que el registro fue actualizado antes</t>
  </si>
  <si>
    <t xml:space="preserve">el sistema entrega el vigente y conserva el anterior con su fecha</t>
  </si>
  <si>
    <t xml:space="preserve">se consulta su voluntad anticipada</t>
  </si>
  <si>
    <t xml:space="preserve">se intenta consultar una voluntad anticipada</t>
  </si>
  <si>
    <t xml:space="preserve">que el auxiliar de admisión consulta la voluntad anticipada</t>
  </si>
  <si>
    <t xml:space="preserve">el registro queda igual que antes</t>
  </si>
  <si>
    <t xml:space="preserve">el sistema indica si tiene voluntad anticipada registrada</t>
  </si>
  <si>
    <t xml:space="preserve">Registro eliminado</t>
  </si>
  <si>
    <t xml:space="preserve">que el registro fue eliminado antes</t>
  </si>
  <si>
    <t xml:space="preserve">el sistema informa que no hay registro vigente</t>
  </si>
  <si>
    <t xml:space="preserve">Actualización por un documento nuevo</t>
  </si>
  <si>
    <t xml:space="preserve">que el paciente suscribió un documento que sustituye al anterior</t>
  </si>
  <si>
    <t xml:space="preserve">el auxiliar de admisión actualiza el registro</t>
  </si>
  <si>
    <t xml:space="preserve">el sistema conserva el nuevo como vigente</t>
  </si>
  <si>
    <t xml:space="preserve">El registro anterior no se pierde</t>
  </si>
  <si>
    <t xml:space="preserve">que el registro fue actualizado</t>
  </si>
  <si>
    <t xml:space="preserve">el sistema entrega el vigente y el anterior con sus fechas</t>
  </si>
  <si>
    <t xml:space="preserve">Actualización de la fecha de suscripción</t>
  </si>
  <si>
    <t xml:space="preserve">que el auxiliar de admisión actualiza el registro</t>
  </si>
  <si>
    <t xml:space="preserve">indica la nueva fecha de suscripción</t>
  </si>
  <si>
    <t xml:space="preserve">el sistema la conserva asociada al registro vigente</t>
  </si>
  <si>
    <t xml:space="preserve">Cambio del prestador donde reposa el documento</t>
  </si>
  <si>
    <t xml:space="preserve">que el documento cambió de prestador</t>
  </si>
  <si>
    <t xml:space="preserve">el sistema conserva el código del prestador nuevo</t>
  </si>
  <si>
    <t xml:space="preserve">Actualización de un paciente sin registro previo</t>
  </si>
  <si>
    <t xml:space="preserve">remite al registro</t>
  </si>
  <si>
    <t xml:space="preserve">que el auxiliar de admisión modificó el registro sin confirmar</t>
  </si>
  <si>
    <t xml:space="preserve">el sistema conserva el registro anterior</t>
  </si>
  <si>
    <t xml:space="preserve">se intenta actualizar una voluntad anticipada</t>
  </si>
  <si>
    <t xml:space="preserve">Actualización que deja el registro incompleto</t>
  </si>
  <si>
    <t xml:space="preserve">que el auxiliar de admisión intenta dejar vacío un dato obligatorio</t>
  </si>
  <si>
    <t xml:space="preserve">que el auxiliar de admisión actualiza la voluntad anticipada</t>
  </si>
  <si>
    <t xml:space="preserve">Eliminación de un registro</t>
  </si>
  <si>
    <t xml:space="preserve">que el registro se hizo por error</t>
  </si>
  <si>
    <t xml:space="preserve">el auxiliar de admisión lo elimina</t>
  </si>
  <si>
    <t xml:space="preserve">el sistema deja de presentarlo como vigente</t>
  </si>
  <si>
    <t xml:space="preserve">que el auxiliar de admisión solicita eliminar el registro</t>
  </si>
  <si>
    <t xml:space="preserve">que el auxiliar de admisión solicitó eliminar el registro</t>
  </si>
  <si>
    <t xml:space="preserve">el registro queda intacto</t>
  </si>
  <si>
    <t xml:space="preserve">que el registro fue eliminado</t>
  </si>
  <si>
    <t xml:space="preserve">Eliminación de un registro que no existe</t>
  </si>
  <si>
    <t xml:space="preserve">el auxiliar de admisión registra uno nuevo</t>
  </si>
  <si>
    <t xml:space="preserve">el sistema lo acepta como vigente</t>
  </si>
  <si>
    <t xml:space="preserve">se intenta eliminar un registro</t>
  </si>
  <si>
    <t xml:space="preserve">que el auxiliar de admisión elimina el registro</t>
  </si>
  <si>
    <t xml:space="preserve">se intenta eliminar su voluntad anticipada</t>
  </si>
  <si>
    <t xml:space="preserve">Carga de un país</t>
  </si>
  <si>
    <t xml:space="preserve">que el responsable de catálogos tiene sesión iniciada</t>
  </si>
  <si>
    <t xml:space="preserve">carga un país con su código y su nombre</t>
  </si>
  <si>
    <t xml:space="preserve">el sistema lo conserva en el catálogo</t>
  </si>
  <si>
    <t xml:space="preserve">queda disponible para registrar pacientes</t>
  </si>
  <si>
    <t xml:space="preserve">Carga masiva del catálogo</t>
  </si>
  <si>
    <t xml:space="preserve">que el responsable de catálogos dispone del catálogo oficial completo</t>
  </si>
  <si>
    <t xml:space="preserve">lo carga</t>
  </si>
  <si>
    <t xml:space="preserve">el sistema conserva todos los valores</t>
  </si>
  <si>
    <t xml:space="preserve">informa cuántos quedaron cargados</t>
  </si>
  <si>
    <t xml:space="preserve">País que ya existe</t>
  </si>
  <si>
    <t xml:space="preserve">que el país ya está en el catálogo</t>
  </si>
  <si>
    <t xml:space="preserve">el responsable de catálogos intenta cargarlo de nuevo</t>
  </si>
  <si>
    <t xml:space="preserve">Código con formato incorrecto</t>
  </si>
  <si>
    <t xml:space="preserve">que el código no tiene tres caracteres</t>
  </si>
  <si>
    <t xml:space="preserve">el responsable de catálogos intenta cargarlo</t>
  </si>
  <si>
    <t xml:space="preserve">señala el formato esperado</t>
  </si>
  <si>
    <t xml:space="preserve">Carga sin nombre</t>
  </si>
  <si>
    <t xml:space="preserve">que el responsable de catálogos indica el código sin el nombre</t>
  </si>
  <si>
    <t xml:space="preserve">intenta confirmar</t>
  </si>
  <si>
    <t xml:space="preserve">el sistema no completa la carga</t>
  </si>
  <si>
    <t xml:space="preserve">señala que faltan datos</t>
  </si>
  <si>
    <t xml:space="preserve">Atribución de la carga</t>
  </si>
  <si>
    <t xml:space="preserve">que el responsable de catálogos carga un valor</t>
  </si>
  <si>
    <t xml:space="preserve">Carga sin sesión iniciada</t>
  </si>
  <si>
    <t xml:space="preserve">se intenta cargar un país</t>
  </si>
  <si>
    <t xml:space="preserve">Carga por quien no es responsable de catálogos</t>
  </si>
  <si>
    <t xml:space="preserve">intenta cargar un país</t>
  </si>
  <si>
    <t xml:space="preserve">Conservación de los valores válidos en una carga masiva</t>
  </si>
  <si>
    <t xml:space="preserve">que en una carga masiva algunos registros son inválidos</t>
  </si>
  <si>
    <t xml:space="preserve">el sistema los procesa</t>
  </si>
  <si>
    <t xml:space="preserve">informa cuáles fueron rechazados y por qué</t>
  </si>
  <si>
    <t xml:space="preserve">Disponibilidad inmediata</t>
  </si>
  <si>
    <t xml:space="preserve">que un país fue cargado</t>
  </si>
  <si>
    <t xml:space="preserve">el auxiliar de admisión registra un paciente</t>
  </si>
  <si>
    <t xml:space="preserve">ese país está disponible para asociarlo</t>
  </si>
  <si>
    <t xml:space="preserve">Consulta del catálogo completo</t>
  </si>
  <si>
    <t xml:space="preserve">que el catálogo tiene valores cargados</t>
  </si>
  <si>
    <t xml:space="preserve">el responsable de catálogos lo consulta</t>
  </si>
  <si>
    <t xml:space="preserve">el sistema entrega todos los países con su código y su nombre</t>
  </si>
  <si>
    <t xml:space="preserve">Catálogo vacío</t>
  </si>
  <si>
    <t xml:space="preserve">que el catálogo no tiene valores</t>
  </si>
  <si>
    <t xml:space="preserve">el sistema informa que está vacío</t>
  </si>
  <si>
    <t xml:space="preserve">Búsqueda de un país concreto</t>
  </si>
  <si>
    <t xml:space="preserve">que el responsable de catálogos busca un país</t>
  </si>
  <si>
    <t xml:space="preserve">indica su código o su nombre</t>
  </si>
  <si>
    <t xml:space="preserve">el sistema entrega ese valor si existe</t>
  </si>
  <si>
    <t xml:space="preserve">País que no existe en el catálogo</t>
  </si>
  <si>
    <t xml:space="preserve">que el país buscado no está cargado</t>
  </si>
  <si>
    <t xml:space="preserve">el responsable de catálogos lo busca</t>
  </si>
  <si>
    <t xml:space="preserve">Cuántos valores tiene el catálogo</t>
  </si>
  <si>
    <t xml:space="preserve">que el responsable de catálogos consulta el catálogo</t>
  </si>
  <si>
    <t xml:space="preserve">el sistema lo entrega</t>
  </si>
  <si>
    <t xml:space="preserve">indica cuántos valores contiene</t>
  </si>
  <si>
    <t xml:space="preserve">Quién cargó cada valor</t>
  </si>
  <si>
    <t xml:space="preserve">que los valores fueron cargados por personas distintas</t>
  </si>
  <si>
    <t xml:space="preserve">el responsable de catálogos los consulta</t>
  </si>
  <si>
    <t xml:space="preserve">el sistema indica a quién se atribuye cada carga</t>
  </si>
  <si>
    <t xml:space="preserve">Consulta por el auxiliar de admisión</t>
  </si>
  <si>
    <t xml:space="preserve">que el auxiliar de admisión está registrando un paciente</t>
  </si>
  <si>
    <t xml:space="preserve">necesita los valores del catálogo</t>
  </si>
  <si>
    <t xml:space="preserve">se intenta consultar el catálogo</t>
  </si>
  <si>
    <t xml:space="preserve">La consulta no modifica el catálogo</t>
  </si>
  <si>
    <t xml:space="preserve">los valores quedan igual que antes</t>
  </si>
  <si>
    <t xml:space="preserve">Valores eliminados</t>
  </si>
  <si>
    <t xml:space="preserve">que un valor fue eliminado del catálogo</t>
  </si>
  <si>
    <t xml:space="preserve">el responsable de catálogos consulta el catálogo</t>
  </si>
  <si>
    <t xml:space="preserve">el sistema no lo presenta entre los vigentes</t>
  </si>
  <si>
    <t xml:space="preserve">Actualización del nombre de un país</t>
  </si>
  <si>
    <t xml:space="preserve">que el nombre oficial de un país cambió</t>
  </si>
  <si>
    <t xml:space="preserve">el responsable de catálogos lo actualiza</t>
  </si>
  <si>
    <t xml:space="preserve">el sistema conserva el nombre nuevo</t>
  </si>
  <si>
    <t xml:space="preserve">Los registros existentes conservan su referencia</t>
  </si>
  <si>
    <t xml:space="preserve">que hay pacientes registrados con ese país</t>
  </si>
  <si>
    <t xml:space="preserve">el responsable de catálogos actualiza el valor</t>
  </si>
  <si>
    <t xml:space="preserve">esos registros siguen apuntando al mismo país</t>
  </si>
  <si>
    <t xml:space="preserve">Actualización a un código que ya existe</t>
  </si>
  <si>
    <t xml:space="preserve">que el responsable de catálogos intenta poner un código que ya usa otro país</t>
  </si>
  <si>
    <t xml:space="preserve">Actualización con formato incorrecto</t>
  </si>
  <si>
    <t xml:space="preserve">que el código nuevo no tiene tres caracteres</t>
  </si>
  <si>
    <t xml:space="preserve">el responsable de catálogos intenta confirmarlo</t>
  </si>
  <si>
    <t xml:space="preserve">Actualización de un país que no existe</t>
  </si>
  <si>
    <t xml:space="preserve">que el país no está en el catálogo</t>
  </si>
  <si>
    <t xml:space="preserve">se intenta actualizarlo</t>
  </si>
  <si>
    <t xml:space="preserve">que el responsable de catálogos modificó el valor sin confirmar</t>
  </si>
  <si>
    <t xml:space="preserve">el sistema conserva el valor anterior</t>
  </si>
  <si>
    <t xml:space="preserve">que el responsable de catálogos actualiza un valor</t>
  </si>
  <si>
    <t xml:space="preserve">se intenta actualizar un país</t>
  </si>
  <si>
    <t xml:space="preserve">Actualización por quien no es responsable de catálogos</t>
  </si>
  <si>
    <t xml:space="preserve">intenta actualizar un país</t>
  </si>
  <si>
    <t xml:space="preserve">Actualización que deja el valor incompleto</t>
  </si>
  <si>
    <t xml:space="preserve">que el responsable de catálogos intenta dejar vacío el código o el nombre</t>
  </si>
  <si>
    <t xml:space="preserve">Eliminación de un valor sin uso</t>
  </si>
  <si>
    <t xml:space="preserve">que ningún paciente tiene ese país asociado</t>
  </si>
  <si>
    <t xml:space="preserve">el responsable de catálogos lo elimina</t>
  </si>
  <si>
    <t xml:space="preserve">el sistema lo retira del catálogo</t>
  </si>
  <si>
    <t xml:space="preserve">Eliminación de un valor en uso</t>
  </si>
  <si>
    <t xml:space="preserve">el responsable de catálogos intenta eliminarlo</t>
  </si>
  <si>
    <t xml:space="preserve">el sistema no lo permite</t>
  </si>
  <si>
    <t xml:space="preserve">señala cuántos registros lo están usando</t>
  </si>
  <si>
    <t xml:space="preserve">que el responsable de catálogos solicita eliminar un valor</t>
  </si>
  <si>
    <t xml:space="preserve">no elimina nada hasta que la confirme</t>
  </si>
  <si>
    <t xml:space="preserve">que el responsable de catálogos solicitó eliminar un valor</t>
  </si>
  <si>
    <t xml:space="preserve">el valor queda intacto</t>
  </si>
  <si>
    <t xml:space="preserve">que un valor fue eliminado</t>
  </si>
  <si>
    <t xml:space="preserve">se consulta el historial del catálogo</t>
  </si>
  <si>
    <t xml:space="preserve">Eliminación de un valor que no existe</t>
  </si>
  <si>
    <t xml:space="preserve">que un país fue eliminado del catálogo</t>
  </si>
  <si>
    <t xml:space="preserve">ese país no está disponible</t>
  </si>
  <si>
    <t xml:space="preserve">se intenta eliminar un país</t>
  </si>
  <si>
    <t xml:space="preserve">Eliminación por quien no es responsable de catálogos</t>
  </si>
  <si>
    <t xml:space="preserve">intenta eliminar un país</t>
  </si>
  <si>
    <t xml:space="preserve">Recarga después de eliminar</t>
  </si>
  <si>
    <t xml:space="preserve">que un país fue eliminado por error</t>
  </si>
  <si>
    <t xml:space="preserve">el responsable de catálogos lo carga de nuevo</t>
  </si>
  <si>
    <t xml:space="preserve">el sistema lo acepta como valor vigente</t>
  </si>
  <si>
    <t xml:space="preserve">Carga de una ocupación</t>
  </si>
  <si>
    <t xml:space="preserve">carga una ocupación con su código y su nombre</t>
  </si>
  <si>
    <t xml:space="preserve">el sistema la conserva en el catálogo</t>
  </si>
  <si>
    <t xml:space="preserve">que el responsable de catálogos dispone del catálogo CIUO-88 AC completo</t>
  </si>
  <si>
    <t xml:space="preserve">Conservación de la jerarquía</t>
  </si>
  <si>
    <t xml:space="preserve">que la ocupación cargada pertenece a una categoría padre</t>
  </si>
  <si>
    <t xml:space="preserve">el responsable de catálogos la carga</t>
  </si>
  <si>
    <t xml:space="preserve">el sistema conserva la relación entre la categoría hija y su padre</t>
  </si>
  <si>
    <t xml:space="preserve">Categoría hija sin su padre</t>
  </si>
  <si>
    <t xml:space="preserve">que la categoría padre no está cargada</t>
  </si>
  <si>
    <t xml:space="preserve">el responsable de catálogos intenta cargar una categoría hija</t>
  </si>
  <si>
    <t xml:space="preserve">el sistema rechaza la carga</t>
  </si>
  <si>
    <t xml:space="preserve">señala que falta la categoría padre</t>
  </si>
  <si>
    <t xml:space="preserve">Distinción entre padre e hija</t>
  </si>
  <si>
    <t xml:space="preserve">que el catálogo tiene categorías padre e hijas cargadas</t>
  </si>
  <si>
    <t xml:space="preserve">el auxiliar de admisión registra la ocupación de un paciente</t>
  </si>
  <si>
    <t xml:space="preserve">el sistema solo le ofrece las categorías hijas [2.1]</t>
  </si>
  <si>
    <t xml:space="preserve">Ocupación que ya existe</t>
  </si>
  <si>
    <t xml:space="preserve">que la ocupación ya está en el catálogo</t>
  </si>
  <si>
    <t xml:space="preserve">el responsable de catálogos intenta cargarla de nuevo</t>
  </si>
  <si>
    <t xml:space="preserve">que el responsable de catálogos carga una ocupación</t>
  </si>
  <si>
    <t xml:space="preserve">se intenta cargar una ocupación</t>
  </si>
  <si>
    <t xml:space="preserve">el sistema entrega todas las ocupaciones con su código y su nombre</t>
  </si>
  <si>
    <t xml:space="preserve">Consulta de la jerarquía</t>
  </si>
  <si>
    <t xml:space="preserve">que el catálogo tiene categorías padre e hijas</t>
  </si>
  <si>
    <t xml:space="preserve">el sistema entrega cada categoría hija con su categoría padre</t>
  </si>
  <si>
    <t xml:space="preserve">Consulta de las categorías asociables</t>
  </si>
  <si>
    <t xml:space="preserve">que el auxiliar de admisión va a registrar una ocupación</t>
  </si>
  <si>
    <t xml:space="preserve">consulta el catálogo</t>
  </si>
  <si>
    <t xml:space="preserve">el sistema le entrega solo las categorías hijas [2.1]</t>
  </si>
  <si>
    <t xml:space="preserve">Búsqueda de una ocupación concreta</t>
  </si>
  <si>
    <t xml:space="preserve">que el responsable de catálogos busca una ocupación</t>
  </si>
  <si>
    <t xml:space="preserve">Categoría padre sin hijas cargadas</t>
  </si>
  <si>
    <t xml:space="preserve">que una categoría padre no tiene categorías hijas en el catálogo</t>
  </si>
  <si>
    <t xml:space="preserve">el sistema lo señala, porque esa rama no sirve para registrar pacientes</t>
  </si>
  <si>
    <t xml:space="preserve">que una ocupación fue eliminada del catálogo</t>
  </si>
  <si>
    <t xml:space="preserve">el sistema no la presenta entre las vigentes</t>
  </si>
  <si>
    <t xml:space="preserve">Actualización del nombre de una ocupación</t>
  </si>
  <si>
    <t xml:space="preserve">que la denominación oficial cambió</t>
  </si>
  <si>
    <t xml:space="preserve">el responsable de catálogos la actualiza</t>
  </si>
  <si>
    <t xml:space="preserve">que hay pacientes con esa ocupación registrada</t>
  </si>
  <si>
    <t xml:space="preserve">esos registros siguen apuntando a la misma ocupación</t>
  </si>
  <si>
    <t xml:space="preserve">Actualización de una categoría padre</t>
  </si>
  <si>
    <t xml:space="preserve">que la categoría actualizada tiene categorías hijas</t>
  </si>
  <si>
    <t xml:space="preserve">las hijas conservan su relación con ella</t>
  </si>
  <si>
    <t xml:space="preserve">Cambio de la categoría padre de una hija</t>
  </si>
  <si>
    <t xml:space="preserve">que una categoría hija cambia de padre en el catálogo oficial</t>
  </si>
  <si>
    <t xml:space="preserve">el responsable de catálogos actualiza esa relación</t>
  </si>
  <si>
    <t xml:space="preserve">el sistema conserva la nueva jerarquía</t>
  </si>
  <si>
    <t xml:space="preserve">que el responsable de catálogos intenta poner un código que ya usa otra ocupación</t>
  </si>
  <si>
    <t xml:space="preserve">Actualización de una ocupación que no existe</t>
  </si>
  <si>
    <t xml:space="preserve">que la ocupación no está en el catálogo</t>
  </si>
  <si>
    <t xml:space="preserve">se intenta actualizar una ocupación</t>
  </si>
  <si>
    <t xml:space="preserve">que ningún paciente tiene esa ocupación asociada</t>
  </si>
  <si>
    <t xml:space="preserve">el responsable de catálogos la elimina</t>
  </si>
  <si>
    <t xml:space="preserve">el sistema la retira del catálogo</t>
  </si>
  <si>
    <t xml:space="preserve">que hay pacientes registrados con esa ocupación</t>
  </si>
  <si>
    <t xml:space="preserve">el responsable de catálogos intenta eliminarla</t>
  </si>
  <si>
    <t xml:space="preserve">señala cuántos registros la están usando</t>
  </si>
  <si>
    <t xml:space="preserve">Eliminación de una categoría padre con hijas</t>
  </si>
  <si>
    <t xml:space="preserve">que la categoría tiene categorías hijas cargadas</t>
  </si>
  <si>
    <t xml:space="preserve">señala cuántas categorías hijas dependen de ella</t>
  </si>
  <si>
    <t xml:space="preserve">esa ocupación no está disponible</t>
  </si>
  <si>
    <t xml:space="preserve">se intenta eliminar una ocupación</t>
  </si>
  <si>
    <t xml:space="preserve">que una ocupación fue eliminada por error</t>
  </si>
  <si>
    <t xml:space="preserve">el responsable de catálogos la carga de nuevo</t>
  </si>
  <si>
    <t xml:space="preserve">el sistema la acepta como valor vigente</t>
  </si>
  <si>
    <t xml:space="preserve">Carga de un municipio</t>
  </si>
  <si>
    <t xml:space="preserve">carga un municipio con su nombre y su código DANE</t>
  </si>
  <si>
    <t xml:space="preserve">Municipio sin código DANE</t>
  </si>
  <si>
    <t xml:space="preserve">que el responsable de catálogos indica el nombre sin el código</t>
  </si>
  <si>
    <t xml:space="preserve">intenta confirmar la carga</t>
  </si>
  <si>
    <t xml:space="preserve">el sistema la rechaza</t>
  </si>
  <si>
    <t xml:space="preserve">Código DANE que ya existe</t>
  </si>
  <si>
    <t xml:space="preserve">que el código ya está asociado a otro municipio</t>
  </si>
  <si>
    <t xml:space="preserve">Dos municipios con el mismo nombre</t>
  </si>
  <si>
    <t xml:space="preserve">que dos municipios de departamentos distintos tienen el mismo nombre</t>
  </si>
  <si>
    <t xml:space="preserve">el responsable de catálogos los carga</t>
  </si>
  <si>
    <t xml:space="preserve">el sistema conserva los dos</t>
  </si>
  <si>
    <t xml:space="preserve">los distingue por su código DANE</t>
  </si>
  <si>
    <t xml:space="preserve">que el código no corresponde al formato de la División Político Administrativa</t>
  </si>
  <si>
    <t xml:space="preserve">que el responsable de catálogos carga un municipio</t>
  </si>
  <si>
    <t xml:space="preserve">se intenta cargar un municipio</t>
  </si>
  <si>
    <t xml:space="preserve">que un municipio fue cargado</t>
  </si>
  <si>
    <t xml:space="preserve">ese municipio está disponible para asociarlo</t>
  </si>
  <si>
    <t xml:space="preserve">el sistema entrega todos los municipios con su nombre y su código DANE</t>
  </si>
  <si>
    <t xml:space="preserve">El código acompaña siempre al nombre</t>
  </si>
  <si>
    <t xml:space="preserve">que el responsable de catálogos consulta un municipio</t>
  </si>
  <si>
    <t xml:space="preserve">incluye su código DANE</t>
  </si>
  <si>
    <t xml:space="preserve">no entrega uno sin el otro</t>
  </si>
  <si>
    <t xml:space="preserve">Búsqueda por nombre</t>
  </si>
  <si>
    <t xml:space="preserve">que el responsable de catálogos busca un municipio por su nombre</t>
  </si>
  <si>
    <t xml:space="preserve">indica el nombre</t>
  </si>
  <si>
    <t xml:space="preserve">el sistema entrega los que coincidan con su código</t>
  </si>
  <si>
    <t xml:space="preserve">Búsqueda por código</t>
  </si>
  <si>
    <t xml:space="preserve">que el responsable de catálogos busca un municipio por su código</t>
  </si>
  <si>
    <t xml:space="preserve">indica el código</t>
  </si>
  <si>
    <t xml:space="preserve">el sistema entrega ese municipio si existe</t>
  </si>
  <si>
    <t xml:space="preserve">Municipio que no existe en el catálogo</t>
  </si>
  <si>
    <t xml:space="preserve">que el municipio buscado no está cargado</t>
  </si>
  <si>
    <t xml:space="preserve">que un municipio fue eliminado del catálogo</t>
  </si>
  <si>
    <t xml:space="preserve">Actualización del nombre de un municipio</t>
  </si>
  <si>
    <t xml:space="preserve">que el nombre oficial de un municipio cambió</t>
  </si>
  <si>
    <t xml:space="preserve">que hay pacientes registrados con ese municipio</t>
  </si>
  <si>
    <t xml:space="preserve">el responsable de catálogos actualiza el nombre</t>
  </si>
  <si>
    <t xml:space="preserve">esos registros siguen apuntando al mismo código DANE</t>
  </si>
  <si>
    <t xml:space="preserve">Actualización del código DANE</t>
  </si>
  <si>
    <t xml:space="preserve">que el código oficial de un municipio cambió</t>
  </si>
  <si>
    <t xml:space="preserve">el sistema conserva el código nuevo</t>
  </si>
  <si>
    <t xml:space="preserve">los registros que lo usaban quedan asociados al valor actualizado</t>
  </si>
  <si>
    <t xml:space="preserve">que el responsable de catálogos intenta poner un código que ya usa otro municipio</t>
  </si>
  <si>
    <t xml:space="preserve">que el código nuevo no corresponde al formato de la División Político Administrativa</t>
  </si>
  <si>
    <t xml:space="preserve">Actualización de un municipio que no existe</t>
  </si>
  <si>
    <t xml:space="preserve">que el municipio no está en el catálogo</t>
  </si>
  <si>
    <t xml:space="preserve">se intenta actualizar un municipio</t>
  </si>
  <si>
    <t xml:space="preserve">que el responsable de catálogos intenta dejar vacío el nombre o el código</t>
  </si>
  <si>
    <t xml:space="preserve">que ningún paciente tiene ese municipio asociado</t>
  </si>
  <si>
    <t xml:space="preserve">ese municipio no está disponible</t>
  </si>
  <si>
    <t xml:space="preserve">se intenta eliminar un municipio</t>
  </si>
  <si>
    <t xml:space="preserve">intenta eliminar un municipio</t>
  </si>
  <si>
    <t xml:space="preserve">que un municipio fue eliminado por error</t>
  </si>
  <si>
    <t xml:space="preserve">Carga de un código diagnóstico</t>
  </si>
  <si>
    <t xml:space="preserve">carga un código con su descripción</t>
  </si>
  <si>
    <t xml:space="preserve">que el responsable de catálogos dispone del CIE-10 completo</t>
  </si>
  <si>
    <t xml:space="preserve">el sistema conserva todos los códigos</t>
  </si>
  <si>
    <t xml:space="preserve">que el código cargado pertenece a una categoría padre</t>
  </si>
  <si>
    <t xml:space="preserve">el responsable de catálogos lo carga</t>
  </si>
  <si>
    <t xml:space="preserve">Código hijo sin su padre</t>
  </si>
  <si>
    <t xml:space="preserve">que el código padre no está cargado</t>
  </si>
  <si>
    <t xml:space="preserve">el responsable de catálogos intenta cargar un código hijo</t>
  </si>
  <si>
    <t xml:space="preserve">señala que falta el código padre</t>
  </si>
  <si>
    <t xml:space="preserve">Versión del catálogo</t>
  </si>
  <si>
    <t xml:space="preserve">que el responsable de catálogos carga el catálogo</t>
  </si>
  <si>
    <t xml:space="preserve">confirma la carga</t>
  </si>
  <si>
    <t xml:space="preserve">el sistema registra a qué versión del CIE-10 corresponde [2.2]</t>
  </si>
  <si>
    <t xml:space="preserve">Código que ya existe</t>
  </si>
  <si>
    <t xml:space="preserve">que el código ya está en el catálogo</t>
  </si>
  <si>
    <t xml:space="preserve">Carga sin descripción</t>
  </si>
  <si>
    <t xml:space="preserve">que el responsable de catálogos indica el código sin su descripción</t>
  </si>
  <si>
    <t xml:space="preserve">que el responsable de catálogos carga un código</t>
  </si>
  <si>
    <t xml:space="preserve">se intenta cargar un código diagnóstico</t>
  </si>
  <si>
    <t xml:space="preserve">que en una carga masiva algunos códigos son inválidos</t>
  </si>
  <si>
    <t xml:space="preserve">que el catálogo tiene códigos cargados</t>
  </si>
  <si>
    <t xml:space="preserve">el sistema entrega todos los códigos con su descripción</t>
  </si>
  <si>
    <t xml:space="preserve">que el catálogo tiene códigos padre e hijos</t>
  </si>
  <si>
    <t xml:space="preserve">el sistema entrega cada código hijo con su código padre [2.2]</t>
  </si>
  <si>
    <t xml:space="preserve">Versión cargada</t>
  </si>
  <si>
    <t xml:space="preserve">indica qué versión del CIE-10 está cargada [2.2]</t>
  </si>
  <si>
    <t xml:space="preserve">Selección de un código padre</t>
  </si>
  <si>
    <t xml:space="preserve">que el médico tratante va a registrar un diagnóstico</t>
  </si>
  <si>
    <t xml:space="preserve">el sistema indica si un código padre puede asociarse directamente a la atención</t>
  </si>
  <si>
    <t xml:space="preserve">Pendiente de definición. El documento exige respetar la jerarquía [2.2] pero no dice si el padre es seleccionable, a diferencia de la ocupación, donde el numeral 2.1 sí lo limita a las categorías hijas.</t>
  </si>
  <si>
    <t xml:space="preserve">que el catálogo no tiene códigos</t>
  </si>
  <si>
    <t xml:space="preserve">Búsqueda de un código concreto</t>
  </si>
  <si>
    <t xml:space="preserve">que el responsable de catálogos busca un código</t>
  </si>
  <si>
    <t xml:space="preserve">indica el código o parte de su descripción</t>
  </si>
  <si>
    <t xml:space="preserve">el sistema entrega los que coincidan</t>
  </si>
  <si>
    <t xml:space="preserve">Código padre sin hijos cargados</t>
  </si>
  <si>
    <t xml:space="preserve">que un código padre no tiene códigos hijos en el catálogo</t>
  </si>
  <si>
    <t xml:space="preserve">el sistema lo señala, porque esa rama puede estar incompleta</t>
  </si>
  <si>
    <t xml:space="preserve">Consulta por el médico tratante</t>
  </si>
  <si>
    <t xml:space="preserve">que el médico tratante está registrando una atención</t>
  </si>
  <si>
    <t xml:space="preserve">necesita los códigos del catálogo</t>
  </si>
  <si>
    <t xml:space="preserve">los códigos quedan igual que antes</t>
  </si>
  <si>
    <t xml:space="preserve">Actualización de la descripción de un código</t>
  </si>
  <si>
    <t xml:space="preserve">que la descripción oficial de un código cambió</t>
  </si>
  <si>
    <t xml:space="preserve">el sistema conserva la descripción nueva</t>
  </si>
  <si>
    <t xml:space="preserve">Las atenciones registradas conservan su referencia</t>
  </si>
  <si>
    <t xml:space="preserve">que hay atenciones registradas con ese código</t>
  </si>
  <si>
    <t xml:space="preserve">esas atenciones siguen apuntando al mismo código</t>
  </si>
  <si>
    <t xml:space="preserve">Actualización a una versión nueva del CIE-10</t>
  </si>
  <si>
    <t xml:space="preserve">que se publicó una versión nueva de la clasificación</t>
  </si>
  <si>
    <t xml:space="preserve">el responsable de catálogos actualiza el catálogo</t>
  </si>
  <si>
    <t xml:space="preserve">el sistema registra la versión nueva</t>
  </si>
  <si>
    <t xml:space="preserve">los diagnósticos registrados con la anterior siguen siendo consultables</t>
  </si>
  <si>
    <t xml:space="preserve">Actualización de un código padre</t>
  </si>
  <si>
    <t xml:space="preserve">que el código actualizado tiene códigos hijos</t>
  </si>
  <si>
    <t xml:space="preserve">los hijos conservan su relación con él [2.2]</t>
  </si>
  <si>
    <t xml:space="preserve">Cambio del código padre de un hijo</t>
  </si>
  <si>
    <t xml:space="preserve">que un código hijo cambia de padre en la clasificación oficial</t>
  </si>
  <si>
    <t xml:space="preserve">que el responsable de catálogos intenta poner un código que ya usa otro diagnóstico</t>
  </si>
  <si>
    <t xml:space="preserve">Actualización de un código que no existe</t>
  </si>
  <si>
    <t xml:space="preserve">que el código no está en el catálogo</t>
  </si>
  <si>
    <t xml:space="preserve">que el responsable de catálogos actualiza un código</t>
  </si>
  <si>
    <t xml:space="preserve">se intenta actualizar un código diagnóstico</t>
  </si>
  <si>
    <t xml:space="preserve">Eliminación de un código sin uso</t>
  </si>
  <si>
    <t xml:space="preserve">que ninguna atención tiene ese código asociado</t>
  </si>
  <si>
    <t xml:space="preserve">Eliminación de un código en uso</t>
  </si>
  <si>
    <t xml:space="preserve">señala cuántas atenciones lo están usando</t>
  </si>
  <si>
    <t xml:space="preserve">Eliminación de un código padre con hijos</t>
  </si>
  <si>
    <t xml:space="preserve">que el código tiene códigos hijos cargados</t>
  </si>
  <si>
    <t xml:space="preserve">señala cuántos códigos hijos dependen de él [2.2]</t>
  </si>
  <si>
    <t xml:space="preserve">que el responsable de catálogos solicita eliminar un código</t>
  </si>
  <si>
    <t xml:space="preserve">que el responsable de catálogos solicitó eliminar un código</t>
  </si>
  <si>
    <t xml:space="preserve">el código queda intacto</t>
  </si>
  <si>
    <t xml:space="preserve">que un código fue eliminado</t>
  </si>
  <si>
    <t xml:space="preserve">Eliminación de un código que no existe</t>
  </si>
  <si>
    <t xml:space="preserve">que un código fue eliminado del catálogo</t>
  </si>
  <si>
    <t xml:space="preserve">el médico tratante registra una atención</t>
  </si>
  <si>
    <t xml:space="preserve">ese código no está disponible</t>
  </si>
  <si>
    <t xml:space="preserve">se intenta eliminar un código diagnóstico</t>
  </si>
  <si>
    <t xml:space="preserve">que un código fue eliminado por error</t>
  </si>
</sst>
</file>

<file path=xl/styles.xml><?xml version="1.0" encoding="utf-8"?>
<styleSheet xmlns="http://schemas.openxmlformats.org/spreadsheetml/2006/main">
  <numFmts count="3">
    <numFmt numFmtId="164" formatCode="General"/>
    <numFmt numFmtId="165" formatCode="yyyy\-mm\-dd"/>
    <numFmt numFmtId="166"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0"/>
      <color rgb="FFFFFFFF"/>
      <name val="Arial"/>
      <family val="0"/>
      <charset val="1"/>
    </font>
    <font>
      <i val="true"/>
      <sz val="10"/>
      <name val="Arial"/>
      <family val="0"/>
      <charset val="1"/>
    </font>
  </fonts>
  <fills count="10">
    <fill>
      <patternFill patternType="none"/>
    </fill>
    <fill>
      <patternFill patternType="gray125"/>
    </fill>
    <fill>
      <patternFill patternType="solid">
        <fgColor rgb="FF595959"/>
        <bgColor rgb="FF404040"/>
      </patternFill>
    </fill>
    <fill>
      <patternFill patternType="solid">
        <fgColor rgb="FFF2F2F2"/>
        <bgColor rgb="FFE7E6E6"/>
      </patternFill>
    </fill>
    <fill>
      <patternFill patternType="solid">
        <fgColor rgb="FF2E75B6"/>
        <bgColor rgb="FF0066CC"/>
      </patternFill>
    </fill>
    <fill>
      <patternFill patternType="solid">
        <fgColor rgb="FF1F4E79"/>
        <bgColor rgb="FF003366"/>
      </patternFill>
    </fill>
    <fill>
      <patternFill patternType="solid">
        <fgColor rgb="FF7F7F7F"/>
        <bgColor rgb="FF969696"/>
      </patternFill>
    </fill>
    <fill>
      <patternFill patternType="solid">
        <fgColor rgb="FFFFF9DB"/>
        <bgColor rgb="FFF2F2F2"/>
      </patternFill>
    </fill>
    <fill>
      <patternFill patternType="solid">
        <fgColor rgb="FFE7E6E6"/>
        <bgColor rgb="FFDDEBF7"/>
      </patternFill>
    </fill>
    <fill>
      <patternFill patternType="solid">
        <fgColor rgb="FF404040"/>
        <bgColor rgb="FF3333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6" fillId="7" borderId="1" xfId="0" applyFont="true" applyBorder="true" applyAlignment="true" applyProtection="false">
      <alignment horizontal="left" vertical="top" textRotation="0" wrapText="true" indent="0" shrinkToFit="false"/>
      <protection locked="true" hidden="false"/>
    </xf>
    <xf numFmtId="164" fontId="6" fillId="8" borderId="1" xfId="0" applyFont="true" applyBorder="true" applyAlignment="true" applyProtection="false">
      <alignment horizontal="left" vertical="top" textRotation="0" wrapText="true" indent="0" shrinkToFit="false"/>
      <protection locked="true" hidden="false"/>
    </xf>
    <xf numFmtId="165" fontId="6" fillId="7" borderId="1" xfId="0" applyFont="true" applyBorder="true" applyAlignment="true" applyProtection="false">
      <alignment horizontal="left"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7" fillId="6" borderId="0" xfId="0" applyFont="true" applyBorder="false" applyAlignment="true" applyProtection="false">
      <alignment horizontal="general" vertical="top" textRotation="0" wrapText="true" indent="0" shrinkToFit="false"/>
      <protection locked="true" hidden="false"/>
    </xf>
    <xf numFmtId="164" fontId="6" fillId="7" borderId="0" xfId="0" applyFont="true" applyBorder="false" applyAlignment="true" applyProtection="false">
      <alignment horizontal="general" vertical="top" textRotation="0" wrapText="true" indent="0" shrinkToFit="false"/>
      <protection locked="true" hidden="false"/>
    </xf>
    <xf numFmtId="164" fontId="6" fillId="7" borderId="0" xfId="0" applyFont="true" applyBorder="false" applyAlignment="true" applyProtection="false">
      <alignment horizontal="center" vertical="top" textRotation="0" wrapText="true" indent="0" shrinkToFit="false"/>
      <protection locked="true" hidden="false"/>
    </xf>
    <xf numFmtId="164" fontId="6" fillId="8" borderId="0" xfId="0" applyFont="true" applyBorder="false" applyAlignment="true" applyProtection="false">
      <alignment horizontal="center" vertical="top" textRotation="0" wrapText="tru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center"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5" fillId="8" borderId="0" xfId="0" applyFont="true" applyBorder="false" applyAlignment="true" applyProtection="false">
      <alignment horizontal="center"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9" borderId="0" xfId="0" applyFont="true" applyBorder="false" applyAlignment="true" applyProtection="false">
      <alignment horizontal="general" vertical="top" textRotation="0" wrapText="true" indent="0" shrinkToFit="false"/>
      <protection locked="true" hidden="false"/>
    </xf>
    <xf numFmtId="164" fontId="8" fillId="7"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6" fontId="5" fillId="8" borderId="0" xfId="0" applyFont="true" applyBorder="false" applyAlignment="false" applyProtection="false">
      <alignment horizontal="general" vertical="bottom" textRotation="0" wrapText="false" indent="0" shrinkToFit="false"/>
      <protection locked="true" hidden="false"/>
    </xf>
    <xf numFmtId="166" fontId="0" fillId="8" borderId="0" xfId="0" applyFont="false" applyBorder="false" applyAlignment="false" applyProtection="false">
      <alignment horizontal="general" vertical="bottom" textRotation="0" wrapText="false" indent="0" shrinkToFit="false"/>
      <protection locked="true" hidden="false"/>
    </xf>
    <xf numFmtId="166" fontId="6" fillId="8" borderId="1" xfId="0" applyFont="true" applyBorder="true" applyAlignment="true" applyProtection="false">
      <alignment horizontal="left" vertical="top" textRotation="0" wrapText="true" indent="0" shrinkToFit="false"/>
      <protection locked="true" hidden="false"/>
    </xf>
    <xf numFmtId="165" fontId="6" fillId="7"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patternType="solid">
          <fgColor rgb="FF595959"/>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2E75B6"/>
          <bgColor rgb="FF000000"/>
        </patternFill>
      </fill>
    </dxf>
    <dxf>
      <fill>
        <patternFill patternType="solid">
          <fgColor rgb="FFFFF9DB"/>
          <bgColor rgb="FF000000"/>
        </patternFill>
      </fill>
    </dxf>
    <dxf>
      <fill>
        <patternFill patternType="solid">
          <fgColor rgb="FF1F4E79"/>
          <bgColor rgb="FF000000"/>
        </patternFill>
      </fill>
    </dxf>
    <dxf>
      <fill>
        <patternFill patternType="solid">
          <fgColor rgb="FF7F7F7F"/>
          <bgColor rgb="FF000000"/>
        </patternFill>
      </fill>
    </dxf>
    <dxf>
      <fill>
        <patternFill patternType="solid">
          <fgColor rgb="FFBDD7EE"/>
          <bgColor rgb="FF000000"/>
        </patternFill>
      </fill>
    </dxf>
    <dxf>
      <fill>
        <patternFill patternType="solid">
          <fgColor rgb="FFFFC7CE"/>
          <bgColor rgb="FF000000"/>
        </patternFill>
      </fill>
    </dxf>
    <dxf>
      <fill>
        <patternFill patternType="solid">
          <fgColor rgb="FFE7E6E6"/>
          <bgColor rgb="FF000000"/>
        </patternFill>
      </fill>
    </dxf>
    <dxf>
      <fill>
        <patternFill>
          <bgColor rgb="FFC6EFCE"/>
        </patternFill>
      </fill>
    </dxf>
    <dxf>
      <fill>
        <patternFill>
          <bgColor rgb="FFFFEB9C"/>
        </patternFill>
      </fill>
    </dxf>
    <dxf>
      <fill>
        <patternFill>
          <bgColor rgb="FFFFC7CE"/>
        </patternFill>
      </fill>
    </dxf>
    <dxf>
      <fill>
        <patternFill>
          <bgColor rgb="FFD9D9D9"/>
        </patternFill>
      </fill>
    </dxf>
    <dxf>
      <fill>
        <patternFill>
          <bgColor rgb="FFDDEBF7"/>
        </patternFill>
      </fill>
    </dxf>
    <dxf>
      <fill>
        <patternFill>
          <bgColor rgb="FFBDD7EE"/>
        </patternFill>
      </fill>
    </dxf>
    <dxf>
      <font>
        <name val="Arial"/>
        <charset val="1"/>
        <family val="0"/>
        <b val="1"/>
        <color rgb="FFC00000"/>
      </font>
    </dxf>
    <dxf>
      <fill>
        <patternFill patternType="solid">
          <fgColor rgb="FF404040"/>
          <bgColor rgb="FF000000"/>
        </patternFill>
      </fill>
    </dxf>
    <dxf>
      <fill>
        <patternFill patternType="solid">
          <fgColor rgb="FFC6EFCE"/>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9DB"/>
      <rgbColor rgb="FFDD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2F2F2"/>
      <rgbColor rgb="FFC6EFCE"/>
      <rgbColor rgb="FFFFEB9C"/>
      <rgbColor rgb="FFD9D9D9"/>
      <rgbColor rgb="FFE7E6E6"/>
      <rgbColor rgb="FFCC99FF"/>
      <rgbColor rgb="FFFFC7CE"/>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1.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9"/>
  <sheetViews>
    <sheetView showFormulas="false" showGridLines="true" showRowColHeaders="true" showZeros="true" rightToLeft="false" tabSelected="false" showOutlineSymbols="true" defaultGridColor="true" view="normal" topLeftCell="A1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30"/>
    <col collapsed="false" customWidth="true" hidden="false" outlineLevel="0" max="2" min="2" style="1" width="110"/>
    <col collapsed="false" customWidth="false" hidden="false" outlineLevel="0" max="16384" min="3" style="1" width="8.71"/>
  </cols>
  <sheetData>
    <row r="1" customFormat="false" ht="36" hidden="false" customHeight="true" outlineLevel="0" collapsed="false">
      <c r="A1" s="2" t="s">
        <v>0</v>
      </c>
    </row>
    <row r="3" customFormat="false" ht="24" hidden="false" customHeight="true" outlineLevel="0" collapsed="false">
      <c r="A3" s="3" t="s">
        <v>1</v>
      </c>
      <c r="B3" s="4" t="s">
        <v>2</v>
      </c>
    </row>
    <row r="4" customFormat="false" ht="15" hidden="false" customHeight="true" outlineLevel="0" collapsed="false">
      <c r="A4" s="3" t="s">
        <v>3</v>
      </c>
      <c r="B4" s="4" t="s">
        <v>4</v>
      </c>
    </row>
    <row r="5" customFormat="false" ht="24" hidden="false" customHeight="true" outlineLevel="0" collapsed="false">
      <c r="A5" s="3" t="s">
        <v>5</v>
      </c>
      <c r="B5" s="4" t="s">
        <v>6</v>
      </c>
    </row>
    <row r="6" customFormat="false" ht="24" hidden="false" customHeight="true" outlineLevel="0" collapsed="false">
      <c r="A6" s="3" t="s">
        <v>7</v>
      </c>
      <c r="B6" s="4" t="s">
        <v>8</v>
      </c>
    </row>
    <row r="7" customFormat="false" ht="23.25" hidden="false" customHeight="true" outlineLevel="0" collapsed="false">
      <c r="A7" s="3" t="s">
        <v>9</v>
      </c>
      <c r="B7" s="4" t="s">
        <v>10</v>
      </c>
    </row>
    <row r="8" customFormat="false" ht="24" hidden="false" customHeight="true" outlineLevel="0" collapsed="false">
      <c r="A8" s="3" t="s">
        <v>11</v>
      </c>
      <c r="B8" s="4" t="s">
        <v>12</v>
      </c>
    </row>
    <row r="9" customFormat="false" ht="15" hidden="false" customHeight="true" outlineLevel="0" collapsed="false">
      <c r="A9" s="3"/>
      <c r="B9" s="4" t="s">
        <v>13</v>
      </c>
    </row>
    <row r="10" customFormat="false" ht="24" hidden="false" customHeight="true" outlineLevel="0" collapsed="false">
      <c r="A10" s="3"/>
      <c r="B10" s="4" t="s">
        <v>14</v>
      </c>
    </row>
    <row r="11" customFormat="false" ht="24" hidden="false" customHeight="true" outlineLevel="0" collapsed="false">
      <c r="A11" s="3"/>
      <c r="B11" s="4" t="s">
        <v>15</v>
      </c>
    </row>
    <row r="12" customFormat="false" ht="24" hidden="false" customHeight="true" outlineLevel="0" collapsed="false">
      <c r="A12" s="3"/>
      <c r="B12" s="4" t="s">
        <v>16</v>
      </c>
    </row>
    <row r="13" customFormat="false" ht="15" hidden="false" customHeight="true" outlineLevel="0" collapsed="false">
      <c r="A13" s="3"/>
      <c r="B13" s="4"/>
    </row>
    <row r="14" customFormat="false" ht="24" hidden="false" customHeight="true" outlineLevel="0" collapsed="false">
      <c r="A14" s="3" t="s">
        <v>17</v>
      </c>
      <c r="B14" s="4" t="s">
        <v>18</v>
      </c>
    </row>
    <row r="15" customFormat="false" ht="23.25" hidden="false" customHeight="true" outlineLevel="0" collapsed="false">
      <c r="A15" s="3" t="s">
        <v>19</v>
      </c>
      <c r="B15" s="4" t="s">
        <v>20</v>
      </c>
    </row>
    <row r="16" customFormat="false" ht="24" hidden="false" customHeight="true" outlineLevel="0" collapsed="false">
      <c r="A16" s="3" t="s">
        <v>21</v>
      </c>
      <c r="B16" s="4" t="s">
        <v>22</v>
      </c>
    </row>
    <row r="17" customFormat="false" ht="15" hidden="false" customHeight="true" outlineLevel="0" collapsed="false">
      <c r="A17" s="3" t="s">
        <v>23</v>
      </c>
      <c r="B17" s="4" t="s">
        <v>24</v>
      </c>
    </row>
    <row r="18" customFormat="false" ht="15" hidden="false" customHeight="true" outlineLevel="0" collapsed="false">
      <c r="A18" s="3"/>
      <c r="B18" s="4"/>
    </row>
    <row r="19" customFormat="false" ht="36" hidden="false" customHeight="true" outlineLevel="0" collapsed="false">
      <c r="A19" s="3" t="s">
        <v>25</v>
      </c>
      <c r="B19" s="4" t="s">
        <v>26</v>
      </c>
    </row>
    <row r="20" customFormat="false" ht="15" hidden="false" customHeight="true" outlineLevel="0" collapsed="false">
      <c r="A20" s="3"/>
      <c r="B20" s="4"/>
    </row>
    <row r="21" customFormat="false" ht="15" hidden="false" customHeight="true" outlineLevel="0" collapsed="false">
      <c r="A21" s="3" t="s">
        <v>27</v>
      </c>
      <c r="B21" s="4" t="s">
        <v>28</v>
      </c>
    </row>
    <row r="22" customFormat="false" ht="15" hidden="false" customHeight="true" outlineLevel="0" collapsed="false">
      <c r="A22" s="3" t="s">
        <v>29</v>
      </c>
      <c r="B22" s="4" t="n">
        <f aca="false">COUNTIF(Validación!T:T,"Libre")</f>
        <v>0</v>
      </c>
    </row>
    <row r="23" customFormat="false" ht="15" hidden="false" customHeight="true" outlineLevel="0" collapsed="false">
      <c r="A23" s="3" t="s">
        <v>30</v>
      </c>
      <c r="B23" s="4" t="n">
        <f aca="false">COUNTIF(Validación!T:T,"En análisis")</f>
        <v>0</v>
      </c>
    </row>
    <row r="24" customFormat="false" ht="15" hidden="false" customHeight="true" outlineLevel="0" collapsed="false">
      <c r="A24" s="3" t="s">
        <v>31</v>
      </c>
      <c r="B24" s="4" t="n">
        <f aca="false">COUNTIF(Validación!T:T,"Analizado")</f>
        <v>27</v>
      </c>
    </row>
    <row r="25" customFormat="false" ht="15" hidden="false" customHeight="true" outlineLevel="0" collapsed="false">
      <c r="A25" s="3" t="s">
        <v>32</v>
      </c>
      <c r="B25" s="4" t="n">
        <f aca="false">COUNTIF(Validación!T:T,"En revisión")</f>
        <v>0</v>
      </c>
    </row>
    <row r="26" customFormat="false" ht="15" hidden="false" customHeight="true" outlineLevel="0" collapsed="false">
      <c r="A26" s="3" t="s">
        <v>33</v>
      </c>
      <c r="B26" s="4" t="n">
        <f aca="false">COUNTIF(Validación!T:T,"Aprobado")</f>
        <v>0</v>
      </c>
    </row>
    <row r="27" customFormat="false" ht="15" hidden="false" customHeight="true" outlineLevel="0" collapsed="false">
      <c r="A27" s="3" t="s">
        <v>34</v>
      </c>
      <c r="B27" s="4" t="n">
        <f aca="false">COUNTIF(Validación!T:T,"Bloqueado")</f>
        <v>1</v>
      </c>
    </row>
    <row r="28" customFormat="false" ht="15" hidden="false" customHeight="true" outlineLevel="0" collapsed="false">
      <c r="A28" s="3" t="s">
        <v>35</v>
      </c>
      <c r="B28" s="4" t="n">
        <f aca="false">COUNTIF(Validación!V2:V200,"?*")</f>
        <v>0</v>
      </c>
    </row>
    <row r="29" customFormat="false" ht="15" hidden="false" customHeight="true" outlineLevel="0" collapsed="false">
      <c r="A29" s="3" t="s">
        <v>36</v>
      </c>
      <c r="B29" s="4" t="n">
        <f aca="false">COUNTIF(Historias!X2:X200,"?*")</f>
        <v>0</v>
      </c>
    </row>
    <row r="30" customFormat="false" ht="15" hidden="false" customHeight="true" outlineLevel="0" collapsed="false">
      <c r="A30" s="3" t="s">
        <v>37</v>
      </c>
      <c r="B30" s="4" t="n">
        <f aca="false">COUNTIF(Historias!R:R,"Cumple")</f>
        <v>0</v>
      </c>
    </row>
    <row r="31" customFormat="false" ht="15" hidden="false" customHeight="true" outlineLevel="0" collapsed="false">
      <c r="A31" s="3" t="s">
        <v>38</v>
      </c>
      <c r="B31" s="4" t="n">
        <f aca="false">COUNTIF(Historias!R:R,"Ajustar")</f>
        <v>33</v>
      </c>
    </row>
    <row r="32" customFormat="false" ht="15" hidden="false" customHeight="true" outlineLevel="0" collapsed="false">
      <c r="A32" s="3" t="s">
        <v>39</v>
      </c>
      <c r="B32" s="4" t="n">
        <f aca="false">COUNTIF(Historias!R:R,"Sobra")</f>
        <v>0</v>
      </c>
    </row>
    <row r="33" customFormat="false" ht="15" hidden="false" customHeight="true" outlineLevel="0" collapsed="false">
      <c r="A33" s="3" t="s">
        <v>40</v>
      </c>
      <c r="B33" s="4" t="n">
        <f aca="false">COUNTIF(Historias!V:V,"Libre")</f>
        <v>0</v>
      </c>
    </row>
    <row r="34" customFormat="false" ht="15" hidden="false" customHeight="true" outlineLevel="0" collapsed="false">
      <c r="A34" s="3" t="s">
        <v>41</v>
      </c>
      <c r="B34" s="4" t="n">
        <f aca="false">COUNTIF(Historias!V:V,"Aprobado")+COUNTIF(Historias!V:V,"En Trello")</f>
        <v>0</v>
      </c>
    </row>
    <row r="35" customFormat="false" ht="15" hidden="false" customHeight="true" outlineLevel="0" collapsed="false">
      <c r="A35" s="3" t="s">
        <v>42</v>
      </c>
      <c r="B35" s="4" t="n">
        <f aca="false">COUNTA('Por redactar'!C:C)-1</f>
        <v>0</v>
      </c>
    </row>
    <row r="36" customFormat="false" ht="15" hidden="false" customHeight="true" outlineLevel="0" collapsed="false">
      <c r="A36" s="3" t="s">
        <v>43</v>
      </c>
      <c r="B36" s="4" t="n">
        <f aca="false">COUNTIF(Decisiones!E:E,"Pendiente")</f>
        <v>27</v>
      </c>
    </row>
    <row r="37" customFormat="false" ht="15" hidden="false" customHeight="true" outlineLevel="0" collapsed="false">
      <c r="A37" s="3" t="s">
        <v>44</v>
      </c>
      <c r="B37" s="4" t="n">
        <f aca="false">COUNTA('Ajustes por historia'!A:A)-1</f>
        <v>104</v>
      </c>
    </row>
    <row r="38" customFormat="false" ht="23.85" hidden="false" customHeight="false" outlineLevel="0" collapsed="false">
      <c r="A38" s="3" t="s">
        <v>45</v>
      </c>
      <c r="B38" s="4" t="n">
        <f aca="false">Entidades!H23</f>
        <v>69</v>
      </c>
    </row>
    <row r="39" customFormat="false" ht="23.85" hidden="false" customHeight="false" outlineLevel="0" collapsed="false">
      <c r="A39" s="3" t="s">
        <v>46</v>
      </c>
      <c r="B39" s="4" t="n">
        <f aca="false">Entidades!I23</f>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5" width="6"/>
    <col collapsed="false" customWidth="true" hidden="false" outlineLevel="0" max="2" min="2" style="5" width="130"/>
  </cols>
  <sheetData>
    <row r="1" customFormat="false" ht="15" hidden="false" customHeight="true" outlineLevel="0" collapsed="false">
      <c r="A1" s="6" t="s">
        <v>47</v>
      </c>
      <c r="B1" s="6" t="s">
        <v>48</v>
      </c>
    </row>
    <row r="2" customFormat="false" ht="23.25" hidden="false" customHeight="true" outlineLevel="0" collapsed="false">
      <c r="A2" s="7" t="n">
        <v>1</v>
      </c>
      <c r="B2" s="7" t="s">
        <v>49</v>
      </c>
    </row>
    <row r="3" customFormat="false" ht="23.25" hidden="false" customHeight="true" outlineLevel="0" collapsed="false">
      <c r="A3" s="7" t="n">
        <v>2</v>
      </c>
      <c r="B3" s="7" t="s">
        <v>50</v>
      </c>
    </row>
    <row r="4" customFormat="false" ht="34.5" hidden="false" customHeight="true" outlineLevel="0" collapsed="false">
      <c r="A4" s="7" t="n">
        <v>3</v>
      </c>
      <c r="B4" s="7" t="s">
        <v>51</v>
      </c>
    </row>
    <row r="5" customFormat="false" ht="23.25" hidden="false" customHeight="true" outlineLevel="0" collapsed="false">
      <c r="A5" s="7" t="n">
        <v>4</v>
      </c>
      <c r="B5" s="7" t="s">
        <v>52</v>
      </c>
    </row>
    <row r="6" customFormat="false" ht="23.25" hidden="false" customHeight="true" outlineLevel="0" collapsed="false">
      <c r="A6" s="7" t="n">
        <v>5</v>
      </c>
      <c r="B6" s="7" t="s">
        <v>53</v>
      </c>
    </row>
    <row r="7" customFormat="false" ht="23.25" hidden="false" customHeight="true" outlineLevel="0" collapsed="false">
      <c r="A7" s="7" t="n">
        <v>6</v>
      </c>
      <c r="B7" s="7" t="s">
        <v>54</v>
      </c>
    </row>
    <row r="8" customFormat="false" ht="34.5" hidden="false" customHeight="true" outlineLevel="0" collapsed="false">
      <c r="A8" s="7" t="n">
        <v>7</v>
      </c>
      <c r="B8" s="7" t="s">
        <v>55</v>
      </c>
    </row>
    <row r="9" customFormat="false" ht="23.25" hidden="false" customHeight="true" outlineLevel="0" collapsed="false">
      <c r="A9" s="7" t="n">
        <v>8</v>
      </c>
      <c r="B9" s="7" t="s">
        <v>56</v>
      </c>
    </row>
    <row r="10" customFormat="false" ht="15" hidden="false" customHeight="true" outlineLevel="0" collapsed="false">
      <c r="A10" s="7" t="n">
        <v>9</v>
      </c>
      <c r="B10" s="7" t="s">
        <v>57</v>
      </c>
    </row>
    <row r="11" customFormat="false" ht="23.25" hidden="false" customHeight="true" outlineLevel="0" collapsed="false">
      <c r="A11" s="7" t="n">
        <v>10</v>
      </c>
      <c r="B11" s="7" t="s">
        <v>58</v>
      </c>
    </row>
    <row r="12" customFormat="false" ht="23.25" hidden="false" customHeight="true" outlineLevel="0" collapsed="false">
      <c r="A12" s="7" t="n">
        <v>11</v>
      </c>
      <c r="B12" s="7" t="s">
        <v>59</v>
      </c>
    </row>
    <row r="13" customFormat="false" ht="15" hidden="false" customHeight="true" outlineLevel="0" collapsed="false">
      <c r="A13" s="7" t="n">
        <v>12</v>
      </c>
      <c r="B13" s="7" t="s">
        <v>60</v>
      </c>
    </row>
    <row r="14" customFormat="false" ht="23.25" hidden="false" customHeight="true" outlineLevel="0" collapsed="false">
      <c r="A14" s="7" t="n">
        <v>13</v>
      </c>
      <c r="B14" s="7" t="s">
        <v>61</v>
      </c>
    </row>
    <row r="15" customFormat="false" ht="15" hidden="false" customHeight="true" outlineLevel="0" collapsed="false">
      <c r="A15" s="7" t="n">
        <v>14</v>
      </c>
      <c r="B15" s="7" t="s">
        <v>62</v>
      </c>
    </row>
    <row r="16" customFormat="false" ht="15" hidden="false" customHeight="true" outlineLevel="0" collapsed="false">
      <c r="A16" s="7" t="n">
        <v>15</v>
      </c>
      <c r="B16" s="7" t="s">
        <v>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E21" activePane="bottomRight" state="frozen"/>
      <selection pane="topLeft" activeCell="A1" activeCellId="0" sqref="A1"/>
      <selection pane="topRight" activeCell="E1" activeCellId="0" sqref="E1"/>
      <selection pane="bottomLeft" activeCell="A21" activeCellId="0" sqref="A21"/>
      <selection pane="bottomRight" activeCell="C1" activeCellId="0" sqref="C1"/>
    </sheetView>
  </sheetViews>
  <sheetFormatPr defaultColWidth="8.71484375" defaultRowHeight="15" zeroHeight="false" outlineLevelRow="0" outlineLevelCol="0"/>
  <cols>
    <col collapsed="false" customWidth="true" hidden="false" outlineLevel="0" max="1" min="1" style="1" width="7"/>
    <col collapsed="false" customWidth="true" hidden="false" outlineLevel="0" max="2" min="2" style="1" width="8"/>
    <col collapsed="false" customWidth="true" hidden="false" outlineLevel="0" max="3" min="3" style="1" width="20.42"/>
    <col collapsed="false" customWidth="true" hidden="false" outlineLevel="0" max="4" min="4" style="1" width="30"/>
    <col collapsed="false" customWidth="true" hidden="false" outlineLevel="0" max="5" min="5" style="1" width="9"/>
    <col collapsed="false" customWidth="true" hidden="false" outlineLevel="0" max="6" min="6" style="1" width="48"/>
    <col collapsed="false" customWidth="true" hidden="false" outlineLevel="0" max="7" min="7" style="1" width="12"/>
    <col collapsed="false" customWidth="true" hidden="false" outlineLevel="0" max="9" min="8" style="1" width="14"/>
    <col collapsed="false" customWidth="true" hidden="false" outlineLevel="0" max="11" min="10" style="1" width="11"/>
    <col collapsed="false" customWidth="true" hidden="false" outlineLevel="0" max="12" min="12" style="1" width="16"/>
    <col collapsed="false" customWidth="true" hidden="false" outlineLevel="0" max="13" min="13" style="1" width="12"/>
    <col collapsed="false" customWidth="true" hidden="false" outlineLevel="0" max="14" min="14" style="1" width="20"/>
    <col collapsed="false" customWidth="true" hidden="false" outlineLevel="0" max="15" min="15" style="1" width="22"/>
    <col collapsed="false" customWidth="true" hidden="false" outlineLevel="0" max="16" min="16" style="1" width="13"/>
    <col collapsed="false" customWidth="true" hidden="false" outlineLevel="0" max="17" min="17" style="1" width="26"/>
    <col collapsed="false" customWidth="true" hidden="false" outlineLevel="0" max="18" min="18" style="1" width="22"/>
    <col collapsed="false" customWidth="true" hidden="false" outlineLevel="0" max="19" min="19" style="1" width="14"/>
    <col collapsed="false" customWidth="true" hidden="false" outlineLevel="0" max="20" min="20" style="1" width="13"/>
    <col collapsed="false" customWidth="true" hidden="false" outlineLevel="0" max="21" min="21" style="1" width="22"/>
    <col collapsed="false" customWidth="true" hidden="false" outlineLevel="0" max="22" min="22" style="1" width="24"/>
    <col collapsed="false" customWidth="true" hidden="false" outlineLevel="0" max="23" min="23" style="1" width="22"/>
    <col collapsed="false" customWidth="true" hidden="false" outlineLevel="0" max="24" min="24" style="1" width="28"/>
    <col collapsed="false" customWidth="true" hidden="false" outlineLevel="0" max="25" min="25" style="1" width="22"/>
    <col collapsed="false" customWidth="true" hidden="false" outlineLevel="0" max="26" min="26" style="1" width="13"/>
    <col collapsed="false" customWidth="true" hidden="false" outlineLevel="0" max="28" min="27" style="1" width="12"/>
    <col collapsed="false" customWidth="true" hidden="false" outlineLevel="0" max="29" min="29" style="1" width="40"/>
    <col collapsed="false" customWidth="false" hidden="false" outlineLevel="0" max="16384" min="30" style="1" width="8.71"/>
  </cols>
  <sheetData>
    <row r="1" customFormat="false" ht="42" hidden="false" customHeight="true" outlineLevel="0" collapsed="false">
      <c r="A1" s="8" t="s">
        <v>64</v>
      </c>
      <c r="B1" s="8" t="s">
        <v>65</v>
      </c>
      <c r="C1" s="8" t="s">
        <v>66</v>
      </c>
      <c r="D1" s="8" t="s">
        <v>67</v>
      </c>
      <c r="E1" s="8" t="s">
        <v>68</v>
      </c>
      <c r="F1" s="8" t="s">
        <v>69</v>
      </c>
      <c r="G1" s="8" t="s">
        <v>70</v>
      </c>
      <c r="H1" s="8" t="s">
        <v>71</v>
      </c>
      <c r="I1" s="8" t="s">
        <v>72</v>
      </c>
      <c r="J1" s="8" t="s">
        <v>73</v>
      </c>
      <c r="K1" s="8" t="s">
        <v>74</v>
      </c>
      <c r="L1" s="9" t="s">
        <v>75</v>
      </c>
      <c r="M1" s="9" t="s">
        <v>76</v>
      </c>
      <c r="N1" s="9" t="s">
        <v>77</v>
      </c>
      <c r="O1" s="9" t="s">
        <v>78</v>
      </c>
      <c r="P1" s="9" t="s">
        <v>79</v>
      </c>
      <c r="Q1" s="9" t="s">
        <v>80</v>
      </c>
      <c r="R1" s="9" t="s">
        <v>81</v>
      </c>
      <c r="S1" s="10" t="s">
        <v>82</v>
      </c>
      <c r="T1" s="10" t="s">
        <v>83</v>
      </c>
      <c r="U1" s="11" t="s">
        <v>84</v>
      </c>
      <c r="V1" s="11" t="s">
        <v>85</v>
      </c>
      <c r="W1" s="10" t="s">
        <v>86</v>
      </c>
      <c r="X1" s="10" t="s">
        <v>87</v>
      </c>
      <c r="Y1" s="10" t="s">
        <v>88</v>
      </c>
      <c r="Z1" s="10" t="s">
        <v>89</v>
      </c>
      <c r="AA1" s="10" t="s">
        <v>90</v>
      </c>
      <c r="AB1" s="10" t="s">
        <v>91</v>
      </c>
      <c r="AC1" s="10" t="s">
        <v>92</v>
      </c>
    </row>
    <row r="2" customFormat="false" ht="24" hidden="false" customHeight="true" outlineLevel="0" collapsed="false">
      <c r="A2" s="12" t="s">
        <v>93</v>
      </c>
      <c r="B2" s="12" t="s">
        <v>94</v>
      </c>
      <c r="C2" s="12" t="n">
        <v>1</v>
      </c>
      <c r="D2" s="12" t="s">
        <v>95</v>
      </c>
      <c r="E2" s="12" t="s">
        <v>96</v>
      </c>
      <c r="F2" s="12" t="s">
        <v>97</v>
      </c>
      <c r="G2" s="12" t="s">
        <v>98</v>
      </c>
      <c r="H2" s="12" t="s">
        <v>99</v>
      </c>
      <c r="I2" s="12" t="s">
        <v>100</v>
      </c>
      <c r="J2" s="12" t="s">
        <v>101</v>
      </c>
      <c r="K2" s="12" t="s">
        <v>102</v>
      </c>
      <c r="L2" s="13" t="s">
        <v>103</v>
      </c>
      <c r="M2" s="13" t="s">
        <v>104</v>
      </c>
      <c r="N2" s="13" t="s">
        <v>105</v>
      </c>
      <c r="O2" s="13" t="s">
        <v>106</v>
      </c>
      <c r="P2" s="13" t="n">
        <v>2</v>
      </c>
      <c r="Q2" s="13" t="s">
        <v>107</v>
      </c>
      <c r="R2" s="13" t="s">
        <v>108</v>
      </c>
      <c r="S2" s="13" t="s">
        <v>109</v>
      </c>
      <c r="T2" s="13" t="s">
        <v>110</v>
      </c>
      <c r="U2" s="14" t="str">
        <f aca="false">IF(OR(T2="",T2="Libre"),"Disponible",IF(T2="Bloqueado","Bloqueada: "&amp;IF(Y2="","falta motivo",Y2),IF(OR(T2="Aprobado",T2="En Trello"),"Cerrada",IF(T2="En revisión","En revisión: "&amp;IF(Z2="","falta revisor",Z2),IF(T2="Analizado","Lista para revisar: analizó "&amp;IF(S2="","falta responsable",S2),IF(S2="","Falta responsable","Ocupada por "&amp;S2))))))</f>
        <v>Lista para revisar: analizó Juan Fernando</v>
      </c>
      <c r="V2" s="14" t="str">
        <f aca="false">IF(AND(Z2&lt;&gt;"",Z2=S2),"El revisor no puede ser el responsable",IF(AND(OR(T2="Analizado",T2="En revisión",T2="Aprobado"),W2=""),"Falta la fuente del análisis",IF(AND(OR(T2="Aprobado",T2="En Trello"),Z2=""),"Aprobado sin revisor","")))</f>
        <v/>
      </c>
      <c r="W2" s="13" t="s">
        <v>111</v>
      </c>
      <c r="X2" s="13" t="s">
        <v>112</v>
      </c>
      <c r="Y2" s="13"/>
      <c r="Z2" s="13"/>
      <c r="AA2" s="15" t="n">
        <v>46315</v>
      </c>
      <c r="AB2" s="15"/>
      <c r="AC2" s="13" t="s">
        <v>113</v>
      </c>
    </row>
    <row r="3" customFormat="false" ht="84" hidden="false" customHeight="true" outlineLevel="0" collapsed="false">
      <c r="A3" s="12" t="s">
        <v>114</v>
      </c>
      <c r="B3" s="12" t="s">
        <v>94</v>
      </c>
      <c r="C3" s="12" t="n">
        <v>2</v>
      </c>
      <c r="D3" s="12" t="s">
        <v>115</v>
      </c>
      <c r="E3" s="12" t="s">
        <v>96</v>
      </c>
      <c r="F3" s="12" t="s">
        <v>116</v>
      </c>
      <c r="G3" s="12" t="s">
        <v>117</v>
      </c>
      <c r="H3" s="12" t="s">
        <v>99</v>
      </c>
      <c r="I3" s="12" t="s">
        <v>118</v>
      </c>
      <c r="J3" s="12" t="s">
        <v>119</v>
      </c>
      <c r="K3" s="12" t="s">
        <v>119</v>
      </c>
      <c r="L3" s="13" t="s">
        <v>120</v>
      </c>
      <c r="M3" s="13" t="n">
        <v>14</v>
      </c>
      <c r="N3" s="13" t="s">
        <v>105</v>
      </c>
      <c r="O3" s="13" t="s">
        <v>121</v>
      </c>
      <c r="P3" s="13" t="n">
        <v>3</v>
      </c>
      <c r="Q3" s="13" t="s">
        <v>122</v>
      </c>
      <c r="R3" s="13" t="s">
        <v>123</v>
      </c>
      <c r="S3" s="13" t="s">
        <v>109</v>
      </c>
      <c r="T3" s="13" t="s">
        <v>110</v>
      </c>
      <c r="U3" s="14" t="str">
        <f aca="false">IF(OR(T3="",T3="Libre"),"Disponible",IF(T3="Bloqueado","Bloqueada: "&amp;IF(Y3="","falta motivo",Y3),IF(OR(T3="Aprobado",T3="En Trello"),"Cerrada",IF(T3="En revisión","En revisión: "&amp;IF(Z3="","falta revisor",Z3),IF(T3="Analizado","Lista para revisar: analizó "&amp;IF(S3="","falta responsable",S3),IF(S3="","Falta responsable","Ocupada por "&amp;S3))))))</f>
        <v>Lista para revisar: analizó Juan Fernando</v>
      </c>
      <c r="V3" s="14" t="str">
        <f aca="false">IF(AND(Z3&lt;&gt;"",Z3=S3),"El revisor no puede ser el responsable",IF(AND(OR(T3="Analizado",T3="En revisión",T3="Aprobado"),W3=""),"Falta la fuente del análisis",IF(AND(OR(T3="Aprobado",T3="En Trello"),Z3=""),"Aprobado sin revisor","")))</f>
        <v/>
      </c>
      <c r="W3" s="13" t="s">
        <v>111</v>
      </c>
      <c r="X3" s="13" t="s">
        <v>124</v>
      </c>
      <c r="Y3" s="13"/>
      <c r="Z3" s="13"/>
      <c r="AA3" s="15" t="n">
        <v>46315</v>
      </c>
      <c r="AB3" s="15"/>
      <c r="AC3" s="13" t="s">
        <v>125</v>
      </c>
    </row>
    <row r="4" customFormat="false" ht="24" hidden="false" customHeight="true" outlineLevel="0" collapsed="false">
      <c r="A4" s="12" t="s">
        <v>126</v>
      </c>
      <c r="B4" s="12" t="s">
        <v>94</v>
      </c>
      <c r="C4" s="12" t="n">
        <v>2</v>
      </c>
      <c r="D4" s="12" t="s">
        <v>127</v>
      </c>
      <c r="E4" s="12" t="s">
        <v>96</v>
      </c>
      <c r="F4" s="12" t="s">
        <v>128</v>
      </c>
      <c r="G4" s="12" t="s">
        <v>129</v>
      </c>
      <c r="H4" s="12" t="s">
        <v>99</v>
      </c>
      <c r="I4" s="12" t="s">
        <v>130</v>
      </c>
      <c r="J4" s="12" t="s">
        <v>131</v>
      </c>
      <c r="K4" s="12" t="s">
        <v>132</v>
      </c>
      <c r="L4" s="13" t="s">
        <v>103</v>
      </c>
      <c r="M4" s="13" t="s">
        <v>133</v>
      </c>
      <c r="N4" s="13" t="s">
        <v>134</v>
      </c>
      <c r="O4" s="13" t="s">
        <v>135</v>
      </c>
      <c r="P4" s="13" t="n">
        <v>5</v>
      </c>
      <c r="Q4" s="13" t="s">
        <v>136</v>
      </c>
      <c r="R4" s="13" t="s">
        <v>108</v>
      </c>
      <c r="S4" s="13" t="s">
        <v>109</v>
      </c>
      <c r="T4" s="13" t="s">
        <v>110</v>
      </c>
      <c r="U4" s="14" t="str">
        <f aca="false">IF(OR(T4="",T4="Libre"),"Disponible",IF(T4="Bloqueado","Bloqueada: "&amp;IF(Y4="","falta motivo",Y4),IF(OR(T4="Aprobado",T4="En Trello"),"Cerrada",IF(T4="En revisión","En revisión: "&amp;IF(Z4="","falta revisor",Z4),IF(T4="Analizado","Lista para revisar: analizó "&amp;IF(S4="","falta responsable",S4),IF(S4="","Falta responsable","Ocupada por "&amp;S4))))))</f>
        <v>Lista para revisar: analizó Juan Fernando</v>
      </c>
      <c r="V4" s="14" t="str">
        <f aca="false">IF(AND(Z4&lt;&gt;"",Z4=S4),"El revisor no puede ser el responsable",IF(AND(OR(T4="Analizado",T4="En revisión",T4="Aprobado"),W4=""),"Falta la fuente del análisis",IF(AND(OR(T4="Aprobado",T4="En Trello"),Z4=""),"Aprobado sin revisor","")))</f>
        <v/>
      </c>
      <c r="W4" s="13" t="s">
        <v>111</v>
      </c>
      <c r="X4" s="13" t="s">
        <v>137</v>
      </c>
      <c r="Y4" s="13"/>
      <c r="Z4" s="13"/>
      <c r="AA4" s="15" t="n">
        <v>46315</v>
      </c>
      <c r="AB4" s="15"/>
      <c r="AC4" s="13" t="s">
        <v>138</v>
      </c>
    </row>
    <row r="5" customFormat="false" ht="24" hidden="false" customHeight="true" outlineLevel="0" collapsed="false">
      <c r="A5" s="12" t="s">
        <v>139</v>
      </c>
      <c r="B5" s="12" t="s">
        <v>94</v>
      </c>
      <c r="C5" s="12" t="n">
        <v>3</v>
      </c>
      <c r="D5" s="12" t="s">
        <v>140</v>
      </c>
      <c r="E5" s="12" t="s">
        <v>96</v>
      </c>
      <c r="F5" s="12" t="s">
        <v>141</v>
      </c>
      <c r="G5" s="12" t="s">
        <v>129</v>
      </c>
      <c r="H5" s="12" t="s">
        <v>99</v>
      </c>
      <c r="I5" s="12" t="s">
        <v>130</v>
      </c>
      <c r="J5" s="12" t="s">
        <v>142</v>
      </c>
      <c r="K5" s="12" t="s">
        <v>143</v>
      </c>
      <c r="L5" s="13" t="s">
        <v>103</v>
      </c>
      <c r="M5" s="13" t="s">
        <v>133</v>
      </c>
      <c r="N5" s="13" t="s">
        <v>134</v>
      </c>
      <c r="O5" s="13" t="s">
        <v>135</v>
      </c>
      <c r="P5" s="13" t="n">
        <v>5</v>
      </c>
      <c r="Q5" s="13" t="s">
        <v>136</v>
      </c>
      <c r="R5" s="13" t="s">
        <v>108</v>
      </c>
      <c r="S5" s="13" t="s">
        <v>109</v>
      </c>
      <c r="T5" s="13" t="s">
        <v>110</v>
      </c>
      <c r="U5" s="14" t="str">
        <f aca="false">IF(OR(T5="",T5="Libre"),"Disponible",IF(T5="Bloqueado","Bloqueada: "&amp;IF(Y5="","falta motivo",Y5),IF(OR(T5="Aprobado",T5="En Trello"),"Cerrada",IF(T5="En revisión","En revisión: "&amp;IF(Z5="","falta revisor",Z5),IF(T5="Analizado","Lista para revisar: analizó "&amp;IF(S5="","falta responsable",S5),IF(S5="","Falta responsable","Ocupada por "&amp;S5))))))</f>
        <v>Lista para revisar: analizó Juan Fernando</v>
      </c>
      <c r="V5" s="14" t="str">
        <f aca="false">IF(AND(Z5&lt;&gt;"",Z5=S5),"El revisor no puede ser el responsable",IF(AND(OR(T5="Analizado",T5="En revisión",T5="Aprobado"),W5=""),"Falta la fuente del análisis",IF(AND(OR(T5="Aprobado",T5="En Trello"),Z5=""),"Aprobado sin revisor","")))</f>
        <v/>
      </c>
      <c r="W5" s="13" t="s">
        <v>111</v>
      </c>
      <c r="X5" s="13" t="s">
        <v>144</v>
      </c>
      <c r="Y5" s="13"/>
      <c r="Z5" s="13"/>
      <c r="AA5" s="15" t="n">
        <v>46315</v>
      </c>
      <c r="AB5" s="15"/>
      <c r="AC5" s="13" t="s">
        <v>145</v>
      </c>
    </row>
    <row r="6" customFormat="false" ht="24" hidden="false" customHeight="true" outlineLevel="0" collapsed="false">
      <c r="A6" s="12" t="s">
        <v>146</v>
      </c>
      <c r="B6" s="12" t="s">
        <v>94</v>
      </c>
      <c r="C6" s="12" t="n">
        <v>4</v>
      </c>
      <c r="D6" s="12" t="s">
        <v>147</v>
      </c>
      <c r="E6" s="12" t="s">
        <v>96</v>
      </c>
      <c r="F6" s="12" t="s">
        <v>148</v>
      </c>
      <c r="G6" s="12" t="s">
        <v>129</v>
      </c>
      <c r="H6" s="12" t="s">
        <v>149</v>
      </c>
      <c r="I6" s="12" t="s">
        <v>150</v>
      </c>
      <c r="J6" s="12" t="s">
        <v>151</v>
      </c>
      <c r="K6" s="12" t="s">
        <v>152</v>
      </c>
      <c r="L6" s="13" t="s">
        <v>103</v>
      </c>
      <c r="M6" s="13" t="s">
        <v>133</v>
      </c>
      <c r="N6" s="13" t="s">
        <v>134</v>
      </c>
      <c r="O6" s="13" t="s">
        <v>135</v>
      </c>
      <c r="P6" s="13" t="n">
        <v>5</v>
      </c>
      <c r="Q6" s="13" t="s">
        <v>153</v>
      </c>
      <c r="R6" s="13" t="s">
        <v>108</v>
      </c>
      <c r="S6" s="13" t="s">
        <v>109</v>
      </c>
      <c r="T6" s="13" t="s">
        <v>110</v>
      </c>
      <c r="U6" s="14" t="str">
        <f aca="false">IF(OR(T6="",T6="Libre"),"Disponible",IF(T6="Bloqueado","Bloqueada: "&amp;IF(Y6="","falta motivo",Y6),IF(OR(T6="Aprobado",T6="En Trello"),"Cerrada",IF(T6="En revisión","En revisión: "&amp;IF(Z6="","falta revisor",Z6),IF(T6="Analizado","Lista para revisar: analizó "&amp;IF(S6="","falta responsable",S6),IF(S6="","Falta responsable","Ocupada por "&amp;S6))))))</f>
        <v>Lista para revisar: analizó Juan Fernando</v>
      </c>
      <c r="V6" s="14" t="str">
        <f aca="false">IF(AND(Z6&lt;&gt;"",Z6=S6),"El revisor no puede ser el responsable",IF(AND(OR(T6="Analizado",T6="En revisión",T6="Aprobado"),W6=""),"Falta la fuente del análisis",IF(AND(OR(T6="Aprobado",T6="En Trello"),Z6=""),"Aprobado sin revisor","")))</f>
        <v/>
      </c>
      <c r="W6" s="13" t="s">
        <v>111</v>
      </c>
      <c r="X6" s="13" t="s">
        <v>154</v>
      </c>
      <c r="Y6" s="13"/>
      <c r="Z6" s="13"/>
      <c r="AA6" s="15" t="n">
        <v>46315</v>
      </c>
      <c r="AB6" s="15"/>
      <c r="AC6" s="13" t="s">
        <v>155</v>
      </c>
    </row>
    <row r="7" customFormat="false" ht="24" hidden="false" customHeight="true" outlineLevel="0" collapsed="false">
      <c r="A7" s="12" t="s">
        <v>156</v>
      </c>
      <c r="B7" s="12" t="s">
        <v>94</v>
      </c>
      <c r="C7" s="12" t="n">
        <v>5</v>
      </c>
      <c r="D7" s="12" t="s">
        <v>157</v>
      </c>
      <c r="E7" s="12" t="s">
        <v>96</v>
      </c>
      <c r="F7" s="12" t="s">
        <v>158</v>
      </c>
      <c r="G7" s="12" t="s">
        <v>132</v>
      </c>
      <c r="H7" s="12" t="s">
        <v>99</v>
      </c>
      <c r="I7" s="12" t="s">
        <v>118</v>
      </c>
      <c r="J7" s="12" t="s">
        <v>119</v>
      </c>
      <c r="K7" s="12" t="s">
        <v>119</v>
      </c>
      <c r="L7" s="13" t="s">
        <v>120</v>
      </c>
      <c r="M7" s="13" t="n">
        <v>3</v>
      </c>
      <c r="N7" s="13" t="s">
        <v>134</v>
      </c>
      <c r="O7" s="13" t="s">
        <v>135</v>
      </c>
      <c r="P7" s="13" t="n">
        <v>5</v>
      </c>
      <c r="Q7" s="13" t="s">
        <v>136</v>
      </c>
      <c r="R7" s="13" t="s">
        <v>108</v>
      </c>
      <c r="S7" s="13" t="s">
        <v>109</v>
      </c>
      <c r="T7" s="13" t="s">
        <v>110</v>
      </c>
      <c r="U7" s="14" t="str">
        <f aca="false">IF(OR(T7="",T7="Libre"),"Disponible",IF(T7="Bloqueado","Bloqueada: "&amp;IF(Y7="","falta motivo",Y7),IF(OR(T7="Aprobado",T7="En Trello"),"Cerrada",IF(T7="En revisión","En revisión: "&amp;IF(Z7="","falta revisor",Z7),IF(T7="Analizado","Lista para revisar: analizó "&amp;IF(S7="","falta responsable",S7),IF(S7="","Falta responsable","Ocupada por "&amp;S7))))))</f>
        <v>Lista para revisar: analizó Juan Fernando</v>
      </c>
      <c r="V7" s="14" t="str">
        <f aca="false">IF(AND(Z7&lt;&gt;"",Z7=S7),"El revisor no puede ser el responsable",IF(AND(OR(T7="Analizado",T7="En revisión",T7="Aprobado"),W7=""),"Falta la fuente del análisis",IF(AND(OR(T7="Aprobado",T7="En Trello"),Z7=""),"Aprobado sin revisor","")))</f>
        <v/>
      </c>
      <c r="W7" s="13" t="s">
        <v>111</v>
      </c>
      <c r="X7" s="13" t="s">
        <v>159</v>
      </c>
      <c r="Y7" s="13"/>
      <c r="Z7" s="13"/>
      <c r="AA7" s="15" t="n">
        <v>46315</v>
      </c>
      <c r="AB7" s="15"/>
      <c r="AC7" s="13" t="s">
        <v>160</v>
      </c>
    </row>
    <row r="8" customFormat="false" ht="24" hidden="false" customHeight="true" outlineLevel="0" collapsed="false">
      <c r="A8" s="12" t="s">
        <v>161</v>
      </c>
      <c r="B8" s="12" t="s">
        <v>94</v>
      </c>
      <c r="C8" s="12" t="n">
        <v>6</v>
      </c>
      <c r="D8" s="12" t="s">
        <v>162</v>
      </c>
      <c r="E8" s="12" t="s">
        <v>117</v>
      </c>
      <c r="F8" s="12" t="s">
        <v>163</v>
      </c>
      <c r="G8" s="12" t="s">
        <v>164</v>
      </c>
      <c r="H8" s="12" t="s">
        <v>99</v>
      </c>
      <c r="I8" s="12" t="s">
        <v>118</v>
      </c>
      <c r="J8" s="12" t="s">
        <v>119</v>
      </c>
      <c r="K8" s="12" t="s">
        <v>119</v>
      </c>
      <c r="L8" s="13" t="s">
        <v>120</v>
      </c>
      <c r="M8" s="13" t="n">
        <v>5</v>
      </c>
      <c r="N8" s="13" t="s">
        <v>134</v>
      </c>
      <c r="O8" s="13" t="s">
        <v>135</v>
      </c>
      <c r="P8" s="13" t="n">
        <v>5</v>
      </c>
      <c r="Q8" s="13" t="s">
        <v>136</v>
      </c>
      <c r="R8" s="13" t="s">
        <v>108</v>
      </c>
      <c r="S8" s="13" t="s">
        <v>109</v>
      </c>
      <c r="T8" s="13" t="s">
        <v>110</v>
      </c>
      <c r="U8" s="14" t="str">
        <f aca="false">IF(OR(T8="",T8="Libre"),"Disponible",IF(T8="Bloqueado","Bloqueada: "&amp;IF(Y8="","falta motivo",Y8),IF(OR(T8="Aprobado",T8="En Trello"),"Cerrada",IF(T8="En revisión","En revisión: "&amp;IF(Z8="","falta revisor",Z8),IF(T8="Analizado","Lista para revisar: analizó "&amp;IF(S8="","falta responsable",S8),IF(S8="","Falta responsable","Ocupada por "&amp;S8))))))</f>
        <v>Lista para revisar: analizó Juan Fernando</v>
      </c>
      <c r="V8" s="14" t="str">
        <f aca="false">IF(AND(Z8&lt;&gt;"",Z8=S8),"El revisor no puede ser el responsable",IF(AND(OR(T8="Analizado",T8="En revisión",T8="Aprobado"),W8=""),"Falta la fuente del análisis",IF(AND(OR(T8="Aprobado",T8="En Trello"),Z8=""),"Aprobado sin revisor","")))</f>
        <v/>
      </c>
      <c r="W8" s="13" t="s">
        <v>111</v>
      </c>
      <c r="X8" s="13" t="s">
        <v>165</v>
      </c>
      <c r="Y8" s="13"/>
      <c r="Z8" s="13"/>
      <c r="AA8" s="15" t="n">
        <v>46315</v>
      </c>
      <c r="AB8" s="15"/>
      <c r="AC8" s="13" t="s">
        <v>166</v>
      </c>
    </row>
    <row r="9" customFormat="false" ht="36" hidden="false" customHeight="true" outlineLevel="0" collapsed="false">
      <c r="A9" s="12" t="s">
        <v>167</v>
      </c>
      <c r="B9" s="12" t="s">
        <v>168</v>
      </c>
      <c r="C9" s="12" t="n">
        <v>7</v>
      </c>
      <c r="D9" s="12" t="s">
        <v>169</v>
      </c>
      <c r="E9" s="12" t="s">
        <v>117</v>
      </c>
      <c r="F9" s="12" t="s">
        <v>170</v>
      </c>
      <c r="G9" s="12" t="s">
        <v>98</v>
      </c>
      <c r="H9" s="12" t="s">
        <v>99</v>
      </c>
      <c r="I9" s="12" t="s">
        <v>171</v>
      </c>
      <c r="J9" s="12" t="s">
        <v>172</v>
      </c>
      <c r="K9" s="12" t="s">
        <v>173</v>
      </c>
      <c r="L9" s="13" t="s">
        <v>120</v>
      </c>
      <c r="M9" s="13" t="s">
        <v>104</v>
      </c>
      <c r="N9" s="13" t="s">
        <v>105</v>
      </c>
      <c r="O9" s="13" t="s">
        <v>174</v>
      </c>
      <c r="P9" s="13" t="n">
        <v>2</v>
      </c>
      <c r="Q9" s="13" t="s">
        <v>175</v>
      </c>
      <c r="R9" s="13" t="s">
        <v>108</v>
      </c>
      <c r="S9" s="13" t="s">
        <v>109</v>
      </c>
      <c r="T9" s="13" t="s">
        <v>110</v>
      </c>
      <c r="U9" s="14" t="str">
        <f aca="false">IF(OR(T9="",T9="Libre"),"Disponible",IF(T9="Bloqueado","Bloqueada: "&amp;IF(Y9="","falta motivo",Y9),IF(OR(T9="Aprobado",T9="En Trello"),"Cerrada",IF(T9="En revisión","En revisión: "&amp;IF(Z9="","falta revisor",Z9),IF(T9="Analizado","Lista para revisar: analizó "&amp;IF(S9="","falta responsable",S9),IF(S9="","Falta responsable","Ocupada por "&amp;S9))))))</f>
        <v>Lista para revisar: analizó Juan Fernando</v>
      </c>
      <c r="V9" s="14" t="str">
        <f aca="false">IF(AND(Z9&lt;&gt;"",Z9=S9),"El revisor no puede ser el responsable",IF(AND(OR(T9="Analizado",T9="En revisión",T9="Aprobado"),W9=""),"Falta la fuente del análisis",IF(AND(OR(T9="Aprobado",T9="En Trello"),Z9=""),"Aprobado sin revisor","")))</f>
        <v/>
      </c>
      <c r="W9" s="13" t="s">
        <v>111</v>
      </c>
      <c r="X9" s="13" t="s">
        <v>176</v>
      </c>
      <c r="Y9" s="13"/>
      <c r="Z9" s="13"/>
      <c r="AA9" s="15" t="n">
        <v>46315</v>
      </c>
      <c r="AB9" s="15"/>
      <c r="AC9" s="13" t="s">
        <v>177</v>
      </c>
    </row>
    <row r="10" customFormat="false" ht="36" hidden="false" customHeight="true" outlineLevel="0" collapsed="false">
      <c r="A10" s="12" t="s">
        <v>178</v>
      </c>
      <c r="B10" s="12" t="s">
        <v>168</v>
      </c>
      <c r="C10" s="12" t="n">
        <v>8</v>
      </c>
      <c r="D10" s="12" t="s">
        <v>179</v>
      </c>
      <c r="E10" s="12" t="s">
        <v>117</v>
      </c>
      <c r="F10" s="12" t="s">
        <v>180</v>
      </c>
      <c r="G10" s="12" t="s">
        <v>119</v>
      </c>
      <c r="H10" s="12" t="s">
        <v>181</v>
      </c>
      <c r="I10" s="12" t="s">
        <v>182</v>
      </c>
      <c r="J10" s="12" t="s">
        <v>183</v>
      </c>
      <c r="K10" s="12" t="s">
        <v>183</v>
      </c>
      <c r="L10" s="13" t="s">
        <v>103</v>
      </c>
      <c r="M10" s="13" t="n">
        <v>2</v>
      </c>
      <c r="N10" s="13" t="s">
        <v>184</v>
      </c>
      <c r="O10" s="13" t="s">
        <v>185</v>
      </c>
      <c r="P10" s="13" t="n">
        <v>1</v>
      </c>
      <c r="Q10" s="13" t="s">
        <v>186</v>
      </c>
      <c r="R10" s="13" t="s">
        <v>108</v>
      </c>
      <c r="S10" s="13" t="s">
        <v>109</v>
      </c>
      <c r="T10" s="13" t="s">
        <v>110</v>
      </c>
      <c r="U10" s="14" t="str">
        <f aca="false">IF(OR(T10="",T10="Libre"),"Disponible",IF(T10="Bloqueado","Bloqueada: "&amp;IF(Y10="","falta motivo",Y10),IF(OR(T10="Aprobado",T10="En Trello"),"Cerrada",IF(T10="En revisión","En revisión: "&amp;IF(Z10="","falta revisor",Z10),IF(T10="Analizado","Lista para revisar: analizó "&amp;IF(S10="","falta responsable",S10),IF(S10="","Falta responsable","Ocupada por "&amp;S10))))))</f>
        <v>Lista para revisar: analizó Juan Fernando</v>
      </c>
      <c r="V10" s="14" t="str">
        <f aca="false">IF(AND(Z10&lt;&gt;"",Z10=S10),"El revisor no puede ser el responsable",IF(AND(OR(T10="Analizado",T10="En revisión",T10="Aprobado"),W10=""),"Falta la fuente del análisis",IF(AND(OR(T10="Aprobado",T10="En Trello"),Z10=""),"Aprobado sin revisor","")))</f>
        <v/>
      </c>
      <c r="W10" s="13" t="s">
        <v>111</v>
      </c>
      <c r="X10" s="13" t="s">
        <v>187</v>
      </c>
      <c r="Y10" s="13"/>
      <c r="Z10" s="13"/>
      <c r="AA10" s="15" t="n">
        <v>46315</v>
      </c>
      <c r="AB10" s="15"/>
      <c r="AC10" s="13" t="s">
        <v>188</v>
      </c>
    </row>
    <row r="11" customFormat="false" ht="36" hidden="false" customHeight="true" outlineLevel="0" collapsed="false">
      <c r="A11" s="12" t="s">
        <v>189</v>
      </c>
      <c r="B11" s="12" t="s">
        <v>168</v>
      </c>
      <c r="C11" s="12" t="n">
        <v>9</v>
      </c>
      <c r="D11" s="12" t="s">
        <v>190</v>
      </c>
      <c r="E11" s="12" t="s">
        <v>117</v>
      </c>
      <c r="F11" s="12" t="s">
        <v>191</v>
      </c>
      <c r="G11" s="12" t="s">
        <v>119</v>
      </c>
      <c r="H11" s="12" t="s">
        <v>192</v>
      </c>
      <c r="I11" s="12" t="s">
        <v>193</v>
      </c>
      <c r="J11" s="12" t="s">
        <v>194</v>
      </c>
      <c r="K11" s="12" t="s">
        <v>194</v>
      </c>
      <c r="L11" s="13" t="s">
        <v>103</v>
      </c>
      <c r="M11" s="13" t="n">
        <v>2</v>
      </c>
      <c r="N11" s="13" t="s">
        <v>184</v>
      </c>
      <c r="O11" s="13" t="s">
        <v>195</v>
      </c>
      <c r="P11" s="13" t="n">
        <v>1</v>
      </c>
      <c r="Q11" s="13" t="s">
        <v>196</v>
      </c>
      <c r="R11" s="13" t="s">
        <v>108</v>
      </c>
      <c r="S11" s="13" t="s">
        <v>109</v>
      </c>
      <c r="T11" s="13" t="s">
        <v>110</v>
      </c>
      <c r="U11" s="14" t="str">
        <f aca="false">IF(OR(T11="",T11="Libre"),"Disponible",IF(T11="Bloqueado","Bloqueada: "&amp;IF(Y11="","falta motivo",Y11),IF(OR(T11="Aprobado",T11="En Trello"),"Cerrada",IF(T11="En revisión","En revisión: "&amp;IF(Z11="","falta revisor",Z11),IF(T11="Analizado","Lista para revisar: analizó "&amp;IF(S11="","falta responsable",S11),IF(S11="","Falta responsable","Ocupada por "&amp;S11))))))</f>
        <v>Lista para revisar: analizó Juan Fernando</v>
      </c>
      <c r="V11" s="14" t="str">
        <f aca="false">IF(AND(Z11&lt;&gt;"",Z11=S11),"El revisor no puede ser el responsable",IF(AND(OR(T11="Analizado",T11="En revisión",T11="Aprobado"),W11=""),"Falta la fuente del análisis",IF(AND(OR(T11="Aprobado",T11="En Trello"),Z11=""),"Aprobado sin revisor","")))</f>
        <v/>
      </c>
      <c r="W11" s="13" t="s">
        <v>111</v>
      </c>
      <c r="X11" s="13" t="s">
        <v>197</v>
      </c>
      <c r="Y11" s="13"/>
      <c r="Z11" s="13"/>
      <c r="AA11" s="15" t="n">
        <v>46315</v>
      </c>
      <c r="AB11" s="15"/>
      <c r="AC11" s="13" t="s">
        <v>198</v>
      </c>
    </row>
    <row r="12" customFormat="false" ht="48" hidden="false" customHeight="true" outlineLevel="0" collapsed="false">
      <c r="A12" s="12" t="s">
        <v>199</v>
      </c>
      <c r="B12" s="12" t="s">
        <v>168</v>
      </c>
      <c r="C12" s="12" t="n">
        <v>10</v>
      </c>
      <c r="D12" s="12" t="s">
        <v>200</v>
      </c>
      <c r="E12" s="12" t="s">
        <v>201</v>
      </c>
      <c r="F12" s="12" t="s">
        <v>202</v>
      </c>
      <c r="G12" s="12" t="s">
        <v>203</v>
      </c>
      <c r="H12" s="12" t="s">
        <v>99</v>
      </c>
      <c r="I12" s="12" t="s">
        <v>118</v>
      </c>
      <c r="J12" s="12" t="s">
        <v>119</v>
      </c>
      <c r="K12" s="12" t="s">
        <v>119</v>
      </c>
      <c r="L12" s="13" t="s">
        <v>103</v>
      </c>
      <c r="M12" s="13" t="n">
        <v>8</v>
      </c>
      <c r="N12" s="13" t="s">
        <v>105</v>
      </c>
      <c r="O12" s="13" t="s">
        <v>204</v>
      </c>
      <c r="P12" s="13" t="n">
        <v>3</v>
      </c>
      <c r="Q12" s="13" t="s">
        <v>205</v>
      </c>
      <c r="R12" s="13" t="s">
        <v>123</v>
      </c>
      <c r="S12" s="13" t="s">
        <v>109</v>
      </c>
      <c r="T12" s="13" t="s">
        <v>110</v>
      </c>
      <c r="U12" s="14" t="str">
        <f aca="false">IF(OR(T12="",T12="Libre"),"Disponible",IF(T12="Bloqueado","Bloqueada: "&amp;IF(Y12="","falta motivo",Y12),IF(OR(T12="Aprobado",T12="En Trello"),"Cerrada",IF(T12="En revisión","En revisión: "&amp;IF(Z12="","falta revisor",Z12),IF(T12="Analizado","Lista para revisar: analizó "&amp;IF(S12="","falta responsable",S12),IF(S12="","Falta responsable","Ocupada por "&amp;S12))))))</f>
        <v>Lista para revisar: analizó Juan Fernando</v>
      </c>
      <c r="V12" s="14" t="str">
        <f aca="false">IF(AND(Z12&lt;&gt;"",Z12=S12),"El revisor no puede ser el responsable",IF(AND(OR(T12="Analizado",T12="En revisión",T12="Aprobado"),W12=""),"Falta la fuente del análisis",IF(AND(OR(T12="Aprobado",T12="En Trello"),Z12=""),"Aprobado sin revisor","")))</f>
        <v/>
      </c>
      <c r="W12" s="13" t="s">
        <v>111</v>
      </c>
      <c r="X12" s="13" t="s">
        <v>206</v>
      </c>
      <c r="Y12" s="13"/>
      <c r="Z12" s="13"/>
      <c r="AA12" s="15" t="n">
        <v>46315</v>
      </c>
      <c r="AB12" s="15"/>
      <c r="AC12" s="13" t="s">
        <v>207</v>
      </c>
    </row>
    <row r="13" customFormat="false" ht="24" hidden="false" customHeight="true" outlineLevel="0" collapsed="false">
      <c r="A13" s="12" t="s">
        <v>208</v>
      </c>
      <c r="B13" s="12" t="s">
        <v>168</v>
      </c>
      <c r="C13" s="12" t="n">
        <v>11</v>
      </c>
      <c r="D13" s="12" t="s">
        <v>209</v>
      </c>
      <c r="E13" s="12" t="s">
        <v>210</v>
      </c>
      <c r="F13" s="12" t="s">
        <v>97</v>
      </c>
      <c r="G13" s="12" t="s">
        <v>98</v>
      </c>
      <c r="H13" s="12" t="s">
        <v>99</v>
      </c>
      <c r="I13" s="12" t="s">
        <v>100</v>
      </c>
      <c r="J13" s="12" t="s">
        <v>101</v>
      </c>
      <c r="K13" s="12" t="s">
        <v>102</v>
      </c>
      <c r="L13" s="13" t="s">
        <v>120</v>
      </c>
      <c r="M13" s="13" t="s">
        <v>104</v>
      </c>
      <c r="N13" s="13" t="s">
        <v>211</v>
      </c>
      <c r="O13" s="13" t="s">
        <v>106</v>
      </c>
      <c r="P13" s="13" t="n">
        <v>4</v>
      </c>
      <c r="Q13" s="13" t="s">
        <v>212</v>
      </c>
      <c r="R13" s="13" t="s">
        <v>108</v>
      </c>
      <c r="S13" s="13" t="s">
        <v>109</v>
      </c>
      <c r="T13" s="13" t="s">
        <v>110</v>
      </c>
      <c r="U13" s="14" t="str">
        <f aca="false">IF(OR(T13="",T13="Libre"),"Disponible",IF(T13="Bloqueado","Bloqueada: "&amp;IF(Y13="","falta motivo",Y13),IF(OR(T13="Aprobado",T13="En Trello"),"Cerrada",IF(T13="En revisión","En revisión: "&amp;IF(Z13="","falta revisor",Z13),IF(T13="Analizado","Lista para revisar: analizó "&amp;IF(S13="","falta responsable",S13),IF(S13="","Falta responsable","Ocupada por "&amp;S13))))))</f>
        <v>Lista para revisar: analizó Juan Fernando</v>
      </c>
      <c r="V13" s="14" t="str">
        <f aca="false">IF(AND(Z13&lt;&gt;"",Z13=S13),"El revisor no puede ser el responsable",IF(AND(OR(T13="Analizado",T13="En revisión",T13="Aprobado"),W13=""),"Falta la fuente del análisis",IF(AND(OR(T13="Aprobado",T13="En Trello"),Z13=""),"Aprobado sin revisor","")))</f>
        <v/>
      </c>
      <c r="W13" s="13" t="s">
        <v>111</v>
      </c>
      <c r="X13" s="13" t="s">
        <v>213</v>
      </c>
      <c r="Y13" s="13"/>
      <c r="Z13" s="13"/>
      <c r="AA13" s="15" t="n">
        <v>46315</v>
      </c>
      <c r="AB13" s="15"/>
      <c r="AC13" s="13" t="s">
        <v>214</v>
      </c>
    </row>
    <row r="14" customFormat="false" ht="36" hidden="false" customHeight="true" outlineLevel="0" collapsed="false">
      <c r="A14" s="12" t="s">
        <v>215</v>
      </c>
      <c r="B14" s="12" t="s">
        <v>168</v>
      </c>
      <c r="C14" s="12" t="n">
        <v>12</v>
      </c>
      <c r="D14" s="12" t="s">
        <v>216</v>
      </c>
      <c r="E14" s="12" t="s">
        <v>210</v>
      </c>
      <c r="F14" s="12" t="s">
        <v>217</v>
      </c>
      <c r="G14" s="12" t="s">
        <v>98</v>
      </c>
      <c r="H14" s="12" t="s">
        <v>99</v>
      </c>
      <c r="I14" s="12" t="s">
        <v>218</v>
      </c>
      <c r="J14" s="12" t="s">
        <v>219</v>
      </c>
      <c r="K14" s="12" t="s">
        <v>220</v>
      </c>
      <c r="L14" s="13" t="s">
        <v>103</v>
      </c>
      <c r="M14" s="13" t="s">
        <v>104</v>
      </c>
      <c r="N14" s="13" t="s">
        <v>105</v>
      </c>
      <c r="O14" s="13" t="s">
        <v>221</v>
      </c>
      <c r="P14" s="13" t="n">
        <v>2</v>
      </c>
      <c r="Q14" s="13" t="s">
        <v>222</v>
      </c>
      <c r="R14" s="13" t="s">
        <v>108</v>
      </c>
      <c r="S14" s="13" t="s">
        <v>109</v>
      </c>
      <c r="T14" s="13" t="s">
        <v>110</v>
      </c>
      <c r="U14" s="14" t="str">
        <f aca="false">IF(OR(T14="",T14="Libre"),"Disponible",IF(T14="Bloqueado","Bloqueada: "&amp;IF(Y14="","falta motivo",Y14),IF(OR(T14="Aprobado",T14="En Trello"),"Cerrada",IF(T14="En revisión","En revisión: "&amp;IF(Z14="","falta revisor",Z14),IF(T14="Analizado","Lista para revisar: analizó "&amp;IF(S14="","falta responsable",S14),IF(S14="","Falta responsable","Ocupada por "&amp;S14))))))</f>
        <v>Lista para revisar: analizó Juan Fernando</v>
      </c>
      <c r="V14" s="14" t="str">
        <f aca="false">IF(AND(Z14&lt;&gt;"",Z14=S14),"El revisor no puede ser el responsable",IF(AND(OR(T14="Analizado",T14="En revisión",T14="Aprobado"),W14=""),"Falta la fuente del análisis",IF(AND(OR(T14="Aprobado",T14="En Trello"),Z14=""),"Aprobado sin revisor","")))</f>
        <v/>
      </c>
      <c r="W14" s="13" t="s">
        <v>111</v>
      </c>
      <c r="X14" s="13" t="s">
        <v>223</v>
      </c>
      <c r="Y14" s="13"/>
      <c r="Z14" s="13"/>
      <c r="AA14" s="15" t="n">
        <v>46315</v>
      </c>
      <c r="AB14" s="15"/>
      <c r="AC14" s="13" t="s">
        <v>224</v>
      </c>
    </row>
    <row r="15" customFormat="false" ht="48" hidden="false" customHeight="true" outlineLevel="0" collapsed="false">
      <c r="A15" s="12" t="s">
        <v>225</v>
      </c>
      <c r="B15" s="12" t="s">
        <v>226</v>
      </c>
      <c r="C15" s="12" t="n">
        <v>13</v>
      </c>
      <c r="D15" s="12" t="s">
        <v>227</v>
      </c>
      <c r="E15" s="12" t="s">
        <v>210</v>
      </c>
      <c r="F15" s="12" t="s">
        <v>228</v>
      </c>
      <c r="G15" s="12" t="s">
        <v>229</v>
      </c>
      <c r="H15" s="12" t="s">
        <v>99</v>
      </c>
      <c r="I15" s="12" t="s">
        <v>118</v>
      </c>
      <c r="J15" s="12" t="s">
        <v>119</v>
      </c>
      <c r="K15" s="12" t="s">
        <v>119</v>
      </c>
      <c r="L15" s="13" t="s">
        <v>120</v>
      </c>
      <c r="M15" s="13" t="n">
        <v>7</v>
      </c>
      <c r="N15" s="13" t="s">
        <v>105</v>
      </c>
      <c r="O15" s="13" t="s">
        <v>230</v>
      </c>
      <c r="P15" s="13" t="n">
        <v>3</v>
      </c>
      <c r="Q15" s="13" t="s">
        <v>231</v>
      </c>
      <c r="R15" s="13" t="s">
        <v>123</v>
      </c>
      <c r="S15" s="13" t="s">
        <v>109</v>
      </c>
      <c r="T15" s="13" t="s">
        <v>110</v>
      </c>
      <c r="U15" s="14" t="str">
        <f aca="false">IF(OR(T15="",T15="Libre"),"Disponible",IF(T15="Bloqueado","Bloqueada: "&amp;IF(Y15="","falta motivo",Y15),IF(OR(T15="Aprobado",T15="En Trello"),"Cerrada",IF(T15="En revisión","En revisión: "&amp;IF(Z15="","falta revisor",Z15),IF(T15="Analizado","Lista para revisar: analizó "&amp;IF(S15="","falta responsable",S15),IF(S15="","Falta responsable","Ocupada por "&amp;S15))))))</f>
        <v>Lista para revisar: analizó Juan Fernando</v>
      </c>
      <c r="V15" s="14" t="str">
        <f aca="false">IF(AND(Z15&lt;&gt;"",Z15=S15),"El revisor no puede ser el responsable",IF(AND(OR(T15="Analizado",T15="En revisión",T15="Aprobado"),W15=""),"Falta la fuente del análisis",IF(AND(OR(T15="Aprobado",T15="En Trello"),Z15=""),"Aprobado sin revisor","")))</f>
        <v/>
      </c>
      <c r="W15" s="13" t="s">
        <v>111</v>
      </c>
      <c r="X15" s="13" t="s">
        <v>232</v>
      </c>
      <c r="Y15" s="13"/>
      <c r="Z15" s="13"/>
      <c r="AA15" s="15" t="n">
        <v>46315</v>
      </c>
      <c r="AB15" s="15"/>
      <c r="AC15" s="13" t="s">
        <v>233</v>
      </c>
    </row>
    <row r="16" customFormat="false" ht="24" hidden="false" customHeight="true" outlineLevel="0" collapsed="false">
      <c r="A16" s="12" t="s">
        <v>234</v>
      </c>
      <c r="B16" s="12" t="s">
        <v>226</v>
      </c>
      <c r="C16" s="12" t="n">
        <v>13</v>
      </c>
      <c r="D16" s="12" t="s">
        <v>235</v>
      </c>
      <c r="E16" s="12" t="s">
        <v>210</v>
      </c>
      <c r="F16" s="12" t="s">
        <v>236</v>
      </c>
      <c r="G16" s="12" t="s">
        <v>98</v>
      </c>
      <c r="H16" s="12" t="s">
        <v>99</v>
      </c>
      <c r="I16" s="12" t="s">
        <v>237</v>
      </c>
      <c r="J16" s="12" t="s">
        <v>132</v>
      </c>
      <c r="K16" s="12" t="s">
        <v>132</v>
      </c>
      <c r="L16" s="13" t="s">
        <v>103</v>
      </c>
      <c r="M16" s="13" t="s">
        <v>104</v>
      </c>
      <c r="N16" s="13" t="s">
        <v>105</v>
      </c>
      <c r="O16" s="13" t="s">
        <v>238</v>
      </c>
      <c r="P16" s="13" t="n">
        <v>2</v>
      </c>
      <c r="Q16" s="13" t="s">
        <v>231</v>
      </c>
      <c r="R16" s="13" t="s">
        <v>123</v>
      </c>
      <c r="S16" s="13" t="s">
        <v>109</v>
      </c>
      <c r="T16" s="13" t="s">
        <v>110</v>
      </c>
      <c r="U16" s="14" t="str">
        <f aca="false">IF(OR(T16="",T16="Libre"),"Disponible",IF(T16="Bloqueado","Bloqueada: "&amp;IF(Y16="","falta motivo",Y16),IF(OR(T16="Aprobado",T16="En Trello"),"Cerrada",IF(T16="En revisión","En revisión: "&amp;IF(Z16="","falta revisor",Z16),IF(T16="Analizado","Lista para revisar: analizó "&amp;IF(S16="","falta responsable",S16),IF(S16="","Falta responsable","Ocupada por "&amp;S16))))))</f>
        <v>Lista para revisar: analizó Juan Fernando</v>
      </c>
      <c r="V16" s="14" t="str">
        <f aca="false">IF(AND(Z16&lt;&gt;"",Z16=S16),"El revisor no puede ser el responsable",IF(AND(OR(T16="Analizado",T16="En revisión",T16="Aprobado"),W16=""),"Falta la fuente del análisis",IF(AND(OR(T16="Aprobado",T16="En Trello"),Z16=""),"Aprobado sin revisor","")))</f>
        <v/>
      </c>
      <c r="W16" s="13" t="s">
        <v>111</v>
      </c>
      <c r="X16" s="13" t="s">
        <v>239</v>
      </c>
      <c r="Y16" s="13"/>
      <c r="Z16" s="13"/>
      <c r="AA16" s="15" t="n">
        <v>46315</v>
      </c>
      <c r="AB16" s="15"/>
      <c r="AC16" s="13" t="s">
        <v>240</v>
      </c>
    </row>
    <row r="17" customFormat="false" ht="15" hidden="false" customHeight="true" outlineLevel="0" collapsed="false">
      <c r="A17" s="12" t="s">
        <v>241</v>
      </c>
      <c r="B17" s="12" t="s">
        <v>226</v>
      </c>
      <c r="C17" s="12" t="n">
        <v>14</v>
      </c>
      <c r="D17" s="12" t="s">
        <v>242</v>
      </c>
      <c r="E17" s="12" t="s">
        <v>210</v>
      </c>
      <c r="F17" s="12" t="s">
        <v>243</v>
      </c>
      <c r="G17" s="12" t="s">
        <v>119</v>
      </c>
      <c r="H17" s="12" t="s">
        <v>99</v>
      </c>
      <c r="I17" s="12" t="s">
        <v>118</v>
      </c>
      <c r="J17" s="12" t="s">
        <v>119</v>
      </c>
      <c r="K17" s="12" t="s">
        <v>119</v>
      </c>
      <c r="L17" s="13" t="s">
        <v>120</v>
      </c>
      <c r="M17" s="13" t="n">
        <v>2</v>
      </c>
      <c r="N17" s="13" t="s">
        <v>134</v>
      </c>
      <c r="O17" s="13" t="s">
        <v>135</v>
      </c>
      <c r="P17" s="13" t="n">
        <v>5</v>
      </c>
      <c r="Q17" s="13" t="s">
        <v>244</v>
      </c>
      <c r="R17" s="13" t="s">
        <v>108</v>
      </c>
      <c r="S17" s="13" t="s">
        <v>109</v>
      </c>
      <c r="T17" s="13" t="s">
        <v>110</v>
      </c>
      <c r="U17" s="14" t="str">
        <f aca="false">IF(OR(T17="",T17="Libre"),"Disponible",IF(T17="Bloqueado","Bloqueada: "&amp;IF(Y17="","falta motivo",Y17),IF(OR(T17="Aprobado",T17="En Trello"),"Cerrada",IF(T17="En revisión","En revisión: "&amp;IF(Z17="","falta revisor",Z17),IF(T17="Analizado","Lista para revisar: analizó "&amp;IF(S17="","falta responsable",S17),IF(S17="","Falta responsable","Ocupada por "&amp;S17))))))</f>
        <v>Lista para revisar: analizó Juan Fernando</v>
      </c>
      <c r="V17" s="14" t="str">
        <f aca="false">IF(AND(Z17&lt;&gt;"",Z17=S17),"El revisor no puede ser el responsable",IF(AND(OR(T17="Analizado",T17="En revisión",T17="Aprobado"),W17=""),"Falta la fuente del análisis",IF(AND(OR(T17="Aprobado",T17="En Trello"),Z17=""),"Aprobado sin revisor","")))</f>
        <v/>
      </c>
      <c r="W17" s="13" t="s">
        <v>111</v>
      </c>
      <c r="X17" s="13" t="s">
        <v>245</v>
      </c>
      <c r="Y17" s="13"/>
      <c r="Z17" s="13"/>
      <c r="AA17" s="15" t="n">
        <v>46315</v>
      </c>
      <c r="AB17" s="15"/>
      <c r="AC17" s="13" t="s">
        <v>246</v>
      </c>
    </row>
    <row r="18" customFormat="false" ht="72" hidden="false" customHeight="true" outlineLevel="0" collapsed="false">
      <c r="A18" s="12" t="s">
        <v>247</v>
      </c>
      <c r="B18" s="12" t="s">
        <v>226</v>
      </c>
      <c r="C18" s="12" t="n">
        <v>15</v>
      </c>
      <c r="D18" s="12" t="s">
        <v>248</v>
      </c>
      <c r="E18" s="12" t="s">
        <v>249</v>
      </c>
      <c r="F18" s="12" t="s">
        <v>250</v>
      </c>
      <c r="G18" s="12" t="s">
        <v>98</v>
      </c>
      <c r="H18" s="12" t="s">
        <v>99</v>
      </c>
      <c r="I18" s="12" t="s">
        <v>251</v>
      </c>
      <c r="J18" s="12" t="s">
        <v>252</v>
      </c>
      <c r="K18" s="12" t="s">
        <v>253</v>
      </c>
      <c r="L18" s="13" t="s">
        <v>103</v>
      </c>
      <c r="M18" s="13" t="s">
        <v>104</v>
      </c>
      <c r="N18" s="13" t="s">
        <v>105</v>
      </c>
      <c r="O18" s="13" t="s">
        <v>254</v>
      </c>
      <c r="P18" s="13" t="n">
        <v>2</v>
      </c>
      <c r="Q18" s="13" t="s">
        <v>231</v>
      </c>
      <c r="R18" s="13" t="s">
        <v>123</v>
      </c>
      <c r="S18" s="13" t="s">
        <v>109</v>
      </c>
      <c r="T18" s="13" t="s">
        <v>110</v>
      </c>
      <c r="U18" s="14" t="str">
        <f aca="false">IF(OR(T18="",T18="Libre"),"Disponible",IF(T18="Bloqueado","Bloqueada: "&amp;IF(Y18="","falta motivo",Y18),IF(OR(T18="Aprobado",T18="En Trello"),"Cerrada",IF(T18="En revisión","En revisión: "&amp;IF(Z18="","falta revisor",Z18),IF(T18="Analizado","Lista para revisar: analizó "&amp;IF(S18="","falta responsable",S18),IF(S18="","Falta responsable","Ocupada por "&amp;S18))))))</f>
        <v>Lista para revisar: analizó Juan Fernando</v>
      </c>
      <c r="V18" s="14" t="str">
        <f aca="false">IF(AND(Z18&lt;&gt;"",Z18=S18),"El revisor no puede ser el responsable",IF(AND(OR(T18="Analizado",T18="En revisión",T18="Aprobado"),W18=""),"Falta la fuente del análisis",IF(AND(OR(T18="Aprobado",T18="En Trello"),Z18=""),"Aprobado sin revisor","")))</f>
        <v/>
      </c>
      <c r="W18" s="13" t="s">
        <v>111</v>
      </c>
      <c r="X18" s="13" t="s">
        <v>255</v>
      </c>
      <c r="Y18" s="13"/>
      <c r="Z18" s="13"/>
      <c r="AA18" s="15" t="n">
        <v>46315</v>
      </c>
      <c r="AB18" s="15"/>
      <c r="AC18" s="13" t="s">
        <v>256</v>
      </c>
    </row>
    <row r="19" customFormat="false" ht="36" hidden="false" customHeight="true" outlineLevel="0" collapsed="false">
      <c r="A19" s="12" t="s">
        <v>257</v>
      </c>
      <c r="B19" s="12" t="s">
        <v>226</v>
      </c>
      <c r="C19" s="12" t="n">
        <v>16</v>
      </c>
      <c r="D19" s="12" t="s">
        <v>258</v>
      </c>
      <c r="E19" s="12" t="s">
        <v>151</v>
      </c>
      <c r="F19" s="12" t="s">
        <v>259</v>
      </c>
      <c r="G19" s="12" t="s">
        <v>98</v>
      </c>
      <c r="H19" s="12" t="s">
        <v>99</v>
      </c>
      <c r="I19" s="12" t="s">
        <v>260</v>
      </c>
      <c r="J19" s="12" t="s">
        <v>261</v>
      </c>
      <c r="K19" s="12" t="s">
        <v>261</v>
      </c>
      <c r="L19" s="13" t="s">
        <v>103</v>
      </c>
      <c r="M19" s="13" t="s">
        <v>104</v>
      </c>
      <c r="N19" s="13" t="s">
        <v>262</v>
      </c>
      <c r="O19" s="13" t="s">
        <v>263</v>
      </c>
      <c r="P19" s="13"/>
      <c r="Q19" s="13" t="s">
        <v>264</v>
      </c>
      <c r="R19" s="13" t="s">
        <v>265</v>
      </c>
      <c r="S19" s="13" t="s">
        <v>109</v>
      </c>
      <c r="T19" s="13" t="s">
        <v>266</v>
      </c>
      <c r="U19" s="14" t="str">
        <f aca="false">IF(OR(T19="",T19="Libre"),"Disponible",IF(T19="Bloqueado","Bloqueada: "&amp;IF(Y19="","falta motivo",Y19),IF(OR(T19="Aprobado",T19="En Trello"),"Cerrada",IF(T19="En revisión","En revisión: "&amp;IF(Z19="","falta revisor",Z19),IF(T19="Analizado","Lista para revisar: analizó "&amp;IF(S19="","falta responsable",S19),IF(S19="","Falta responsable","Ocupada por "&amp;S19))))))</f>
        <v>Bloqueada: D-05</v>
      </c>
      <c r="V19" s="14" t="str">
        <f aca="false">IF(AND(Z19&lt;&gt;"",Z19=S19),"El revisor no puede ser el responsable",IF(AND(OR(T19="Analizado",T19="En revisión",T19="Aprobado"),W19=""),"Falta la fuente del análisis",IF(AND(OR(T19="Aprobado",T19="En Trello"),Z19=""),"Aprobado sin revisor","")))</f>
        <v/>
      </c>
      <c r="W19" s="13" t="s">
        <v>111</v>
      </c>
      <c r="X19" s="13" t="s">
        <v>267</v>
      </c>
      <c r="Y19" s="13" t="s">
        <v>268</v>
      </c>
      <c r="Z19" s="13"/>
      <c r="AA19" s="15" t="n">
        <v>46315</v>
      </c>
      <c r="AB19" s="15"/>
      <c r="AC19" s="13" t="s">
        <v>269</v>
      </c>
    </row>
    <row r="20" customFormat="false" ht="24" hidden="false" customHeight="true" outlineLevel="0" collapsed="false">
      <c r="A20" s="12" t="s">
        <v>270</v>
      </c>
      <c r="B20" s="12" t="s">
        <v>226</v>
      </c>
      <c r="C20" s="12" t="n">
        <v>17</v>
      </c>
      <c r="D20" s="12" t="s">
        <v>271</v>
      </c>
      <c r="E20" s="12" t="s">
        <v>151</v>
      </c>
      <c r="F20" s="12" t="s">
        <v>272</v>
      </c>
      <c r="G20" s="12" t="s">
        <v>129</v>
      </c>
      <c r="H20" s="12" t="s">
        <v>149</v>
      </c>
      <c r="I20" s="12" t="s">
        <v>150</v>
      </c>
      <c r="J20" s="12" t="s">
        <v>151</v>
      </c>
      <c r="K20" s="12" t="s">
        <v>151</v>
      </c>
      <c r="L20" s="13" t="s">
        <v>103</v>
      </c>
      <c r="M20" s="13" t="s">
        <v>133</v>
      </c>
      <c r="N20" s="13" t="s">
        <v>273</v>
      </c>
      <c r="O20" s="13" t="s">
        <v>274</v>
      </c>
      <c r="P20" s="13" t="n">
        <v>5</v>
      </c>
      <c r="Q20" s="13" t="s">
        <v>275</v>
      </c>
      <c r="R20" s="13" t="s">
        <v>108</v>
      </c>
      <c r="S20" s="13" t="s">
        <v>109</v>
      </c>
      <c r="T20" s="13" t="s">
        <v>110</v>
      </c>
      <c r="U20" s="14" t="str">
        <f aca="false">IF(OR(T20="",T20="Libre"),"Disponible",IF(T20="Bloqueado","Bloqueada: "&amp;IF(Y20="","falta motivo",Y20),IF(OR(T20="Aprobado",T20="En Trello"),"Cerrada",IF(T20="En revisión","En revisión: "&amp;IF(Z20="","falta revisor",Z20),IF(T20="Analizado","Lista para revisar: analizó "&amp;IF(S20="","falta responsable",S20),IF(S20="","Falta responsable","Ocupada por "&amp;S20))))))</f>
        <v>Lista para revisar: analizó Juan Fernando</v>
      </c>
      <c r="V20" s="14" t="str">
        <f aca="false">IF(AND(Z20&lt;&gt;"",Z20=S20),"El revisor no puede ser el responsable",IF(AND(OR(T20="Analizado",T20="En revisión",T20="Aprobado"),W20=""),"Falta la fuente del análisis",IF(AND(OR(T20="Aprobado",T20="En Trello"),Z20=""),"Aprobado sin revisor","")))</f>
        <v/>
      </c>
      <c r="W20" s="13" t="s">
        <v>111</v>
      </c>
      <c r="X20" s="13" t="s">
        <v>276</v>
      </c>
      <c r="Y20" s="13"/>
      <c r="Z20" s="13"/>
      <c r="AA20" s="15" t="n">
        <v>46315</v>
      </c>
      <c r="AB20" s="15"/>
      <c r="AC20" s="13" t="s">
        <v>277</v>
      </c>
    </row>
    <row r="21" customFormat="false" ht="72" hidden="false" customHeight="true" outlineLevel="0" collapsed="false">
      <c r="A21" s="12" t="s">
        <v>278</v>
      </c>
      <c r="B21" s="12" t="s">
        <v>226</v>
      </c>
      <c r="C21" s="12" t="n">
        <v>18</v>
      </c>
      <c r="D21" s="12" t="s">
        <v>279</v>
      </c>
      <c r="E21" s="12" t="s">
        <v>151</v>
      </c>
      <c r="F21" s="12" t="s">
        <v>280</v>
      </c>
      <c r="G21" s="12" t="s">
        <v>281</v>
      </c>
      <c r="H21" s="12" t="s">
        <v>99</v>
      </c>
      <c r="I21" s="12" t="s">
        <v>118</v>
      </c>
      <c r="J21" s="12" t="s">
        <v>119</v>
      </c>
      <c r="K21" s="12" t="s">
        <v>119</v>
      </c>
      <c r="L21" s="13" t="s">
        <v>103</v>
      </c>
      <c r="M21" s="13" t="n">
        <v>9</v>
      </c>
      <c r="N21" s="13" t="s">
        <v>105</v>
      </c>
      <c r="O21" s="13" t="s">
        <v>282</v>
      </c>
      <c r="P21" s="13" t="n">
        <v>3</v>
      </c>
      <c r="Q21" s="13" t="s">
        <v>283</v>
      </c>
      <c r="R21" s="13" t="s">
        <v>123</v>
      </c>
      <c r="S21" s="13" t="s">
        <v>109</v>
      </c>
      <c r="T21" s="13" t="s">
        <v>110</v>
      </c>
      <c r="U21" s="14" t="str">
        <f aca="false">IF(OR(T21="",T21="Libre"),"Disponible",IF(T21="Bloqueado","Bloqueada: "&amp;IF(Y21="","falta motivo",Y21),IF(OR(T21="Aprobado",T21="En Trello"),"Cerrada",IF(T21="En revisión","En revisión: "&amp;IF(Z21="","falta revisor",Z21),IF(T21="Analizado","Lista para revisar: analizó "&amp;IF(S21="","falta responsable",S21),IF(S21="","Falta responsable","Ocupada por "&amp;S21))))))</f>
        <v>Lista para revisar: analizó Juan Fernando</v>
      </c>
      <c r="V21" s="14" t="str">
        <f aca="false">IF(AND(Z21&lt;&gt;"",Z21=S21),"El revisor no puede ser el responsable",IF(AND(OR(T21="Analizado",T21="En revisión",T21="Aprobado"),W21=""),"Falta la fuente del análisis",IF(AND(OR(T21="Aprobado",T21="En Trello"),Z21=""),"Aprobado sin revisor","")))</f>
        <v/>
      </c>
      <c r="W21" s="13" t="s">
        <v>111</v>
      </c>
      <c r="X21" s="13" t="s">
        <v>284</v>
      </c>
      <c r="Y21" s="13"/>
      <c r="Z21" s="13"/>
      <c r="AA21" s="15" t="n">
        <v>46315</v>
      </c>
      <c r="AB21" s="15"/>
      <c r="AC21" s="13" t="s">
        <v>285</v>
      </c>
    </row>
    <row r="22" customFormat="false" ht="36" hidden="false" customHeight="true" outlineLevel="0" collapsed="false">
      <c r="A22" s="12" t="s">
        <v>286</v>
      </c>
      <c r="B22" s="12" t="s">
        <v>226</v>
      </c>
      <c r="C22" s="12" t="n">
        <v>18</v>
      </c>
      <c r="D22" s="12" t="s">
        <v>287</v>
      </c>
      <c r="E22" s="12" t="s">
        <v>151</v>
      </c>
      <c r="F22" s="12" t="s">
        <v>288</v>
      </c>
      <c r="G22" s="12" t="s">
        <v>164</v>
      </c>
      <c r="H22" s="12" t="s">
        <v>99</v>
      </c>
      <c r="I22" s="12" t="s">
        <v>118</v>
      </c>
      <c r="J22" s="12" t="s">
        <v>119</v>
      </c>
      <c r="K22" s="12" t="s">
        <v>119</v>
      </c>
      <c r="L22" s="13" t="s">
        <v>103</v>
      </c>
      <c r="M22" s="13" t="n">
        <v>5</v>
      </c>
      <c r="N22" s="13" t="s">
        <v>273</v>
      </c>
      <c r="O22" s="13" t="s">
        <v>274</v>
      </c>
      <c r="P22" s="13" t="n">
        <v>5</v>
      </c>
      <c r="Q22" s="13" t="s">
        <v>275</v>
      </c>
      <c r="R22" s="13" t="s">
        <v>108</v>
      </c>
      <c r="S22" s="13" t="s">
        <v>109</v>
      </c>
      <c r="T22" s="13" t="s">
        <v>110</v>
      </c>
      <c r="U22" s="14" t="str">
        <f aca="false">IF(OR(T22="",T22="Libre"),"Disponible",IF(T22="Bloqueado","Bloqueada: "&amp;IF(Y22="","falta motivo",Y22),IF(OR(T22="Aprobado",T22="En Trello"),"Cerrada",IF(T22="En revisión","En revisión: "&amp;IF(Z22="","falta revisor",Z22),IF(T22="Analizado","Lista para revisar: analizó "&amp;IF(S22="","falta responsable",S22),IF(S22="","Falta responsable","Ocupada por "&amp;S22))))))</f>
        <v>Lista para revisar: analizó Juan Fernando</v>
      </c>
      <c r="V22" s="14" t="str">
        <f aca="false">IF(AND(Z22&lt;&gt;"",Z22=S22),"El revisor no puede ser el responsable",IF(AND(OR(T22="Analizado",T22="En revisión",T22="Aprobado"),W22=""),"Falta la fuente del análisis",IF(AND(OR(T22="Aprobado",T22="En Trello"),Z22=""),"Aprobado sin revisor","")))</f>
        <v/>
      </c>
      <c r="W22" s="13" t="s">
        <v>111</v>
      </c>
      <c r="X22" s="13" t="s">
        <v>289</v>
      </c>
      <c r="Y22" s="13"/>
      <c r="Z22" s="13"/>
      <c r="AA22" s="15" t="n">
        <v>46315</v>
      </c>
      <c r="AB22" s="15"/>
      <c r="AC22" s="13" t="s">
        <v>290</v>
      </c>
    </row>
    <row r="23" customFormat="false" ht="24" hidden="false" customHeight="true" outlineLevel="0" collapsed="false">
      <c r="A23" s="12" t="s">
        <v>291</v>
      </c>
      <c r="B23" s="12" t="s">
        <v>292</v>
      </c>
      <c r="C23" s="12" t="n">
        <v>19</v>
      </c>
      <c r="D23" s="12" t="s">
        <v>293</v>
      </c>
      <c r="E23" s="12" t="s">
        <v>151</v>
      </c>
      <c r="F23" s="12" t="s">
        <v>294</v>
      </c>
      <c r="G23" s="12" t="s">
        <v>164</v>
      </c>
      <c r="H23" s="12" t="s">
        <v>99</v>
      </c>
      <c r="I23" s="12" t="s">
        <v>118</v>
      </c>
      <c r="J23" s="12" t="s">
        <v>119</v>
      </c>
      <c r="K23" s="12" t="s">
        <v>119</v>
      </c>
      <c r="L23" s="13" t="s">
        <v>120</v>
      </c>
      <c r="M23" s="13" t="n">
        <v>5</v>
      </c>
      <c r="N23" s="13" t="s">
        <v>273</v>
      </c>
      <c r="O23" s="13" t="s">
        <v>274</v>
      </c>
      <c r="P23" s="13" t="n">
        <v>5</v>
      </c>
      <c r="Q23" s="13" t="s">
        <v>295</v>
      </c>
      <c r="R23" s="13" t="s">
        <v>108</v>
      </c>
      <c r="S23" s="13" t="s">
        <v>109</v>
      </c>
      <c r="T23" s="13" t="s">
        <v>110</v>
      </c>
      <c r="U23" s="14" t="str">
        <f aca="false">IF(OR(T23="",T23="Libre"),"Disponible",IF(T23="Bloqueado","Bloqueada: "&amp;IF(Y23="","falta motivo",Y23),IF(OR(T23="Aprobado",T23="En Trello"),"Cerrada",IF(T23="En revisión","En revisión: "&amp;IF(Z23="","falta revisor",Z23),IF(T23="Analizado","Lista para revisar: analizó "&amp;IF(S23="","falta responsable",S23),IF(S23="","Falta responsable","Ocupada por "&amp;S23))))))</f>
        <v>Lista para revisar: analizó Juan Fernando</v>
      </c>
      <c r="V23" s="14" t="str">
        <f aca="false">IF(AND(Z23&lt;&gt;"",Z23=S23),"El revisor no puede ser el responsable",IF(AND(OR(T23="Analizado",T23="En revisión",T23="Aprobado"),W23=""),"Falta la fuente del análisis",IF(AND(OR(T23="Aprobado",T23="En Trello"),Z23=""),"Aprobado sin revisor","")))</f>
        <v/>
      </c>
      <c r="W23" s="13" t="s">
        <v>111</v>
      </c>
      <c r="X23" s="13" t="s">
        <v>296</v>
      </c>
      <c r="Y23" s="13"/>
      <c r="Z23" s="13"/>
      <c r="AA23" s="15" t="n">
        <v>46313</v>
      </c>
      <c r="AB23" s="15"/>
      <c r="AC23" s="13" t="s">
        <v>297</v>
      </c>
    </row>
    <row r="24" customFormat="false" ht="118.5" hidden="false" customHeight="true" outlineLevel="0" collapsed="false">
      <c r="A24" s="12" t="s">
        <v>298</v>
      </c>
      <c r="B24" s="12" t="s">
        <v>292</v>
      </c>
      <c r="C24" s="12" t="n">
        <v>20</v>
      </c>
      <c r="D24" s="12" t="s">
        <v>299</v>
      </c>
      <c r="E24" s="12" t="s">
        <v>300</v>
      </c>
      <c r="F24" s="12" t="s">
        <v>301</v>
      </c>
      <c r="G24" s="12" t="s">
        <v>117</v>
      </c>
      <c r="H24" s="12" t="s">
        <v>99</v>
      </c>
      <c r="I24" s="12" t="s">
        <v>118</v>
      </c>
      <c r="J24" s="12" t="s">
        <v>119</v>
      </c>
      <c r="K24" s="12" t="s">
        <v>119</v>
      </c>
      <c r="L24" s="13" t="s">
        <v>103</v>
      </c>
      <c r="M24" s="13" t="n">
        <v>14</v>
      </c>
      <c r="N24" s="13" t="s">
        <v>105</v>
      </c>
      <c r="O24" s="13" t="s">
        <v>302</v>
      </c>
      <c r="P24" s="13" t="n">
        <v>3</v>
      </c>
      <c r="Q24" s="13" t="s">
        <v>283</v>
      </c>
      <c r="R24" s="13" t="s">
        <v>123</v>
      </c>
      <c r="S24" s="13" t="s">
        <v>109</v>
      </c>
      <c r="T24" s="13" t="s">
        <v>110</v>
      </c>
      <c r="U24" s="14" t="str">
        <f aca="false">IF(OR(T24="",T24="Libre"),"Disponible",IF(T24="Bloqueado","Bloqueada: "&amp;IF(Y24="","falta motivo",Y24),IF(OR(T24="Aprobado",T24="En Trello"),"Cerrada",IF(T24="En revisión","En revisión: "&amp;IF(Z24="","falta revisor",Z24),IF(T24="Analizado","Lista para revisar: analizó "&amp;IF(S24="","falta responsable",S24),IF(S24="","Falta responsable","Ocupada por "&amp;S24))))))</f>
        <v>Lista para revisar: analizó Juan Fernando</v>
      </c>
      <c r="V24" s="14" t="str">
        <f aca="false">IF(AND(Z24&lt;&gt;"",Z24=S24),"El revisor no puede ser el responsable",IF(AND(OR(T24="Analizado",T24="En revisión",T24="Aprobado"),W24=""),"Falta la fuente del análisis",IF(AND(OR(T24="Aprobado",T24="En Trello"),Z24=""),"Aprobado sin revisor","")))</f>
        <v/>
      </c>
      <c r="W24" s="13" t="s">
        <v>111</v>
      </c>
      <c r="X24" s="13" t="s">
        <v>303</v>
      </c>
      <c r="Y24" s="13"/>
      <c r="Z24" s="13"/>
      <c r="AA24" s="15" t="n">
        <v>46313</v>
      </c>
      <c r="AB24" s="15"/>
      <c r="AC24" s="13" t="s">
        <v>304</v>
      </c>
    </row>
    <row r="25" customFormat="false" ht="274.5" hidden="false" customHeight="true" outlineLevel="0" collapsed="false">
      <c r="A25" s="12" t="s">
        <v>305</v>
      </c>
      <c r="B25" s="12" t="s">
        <v>292</v>
      </c>
      <c r="C25" s="12" t="n">
        <v>21</v>
      </c>
      <c r="D25" s="12" t="s">
        <v>306</v>
      </c>
      <c r="E25" s="12" t="s">
        <v>307</v>
      </c>
      <c r="F25" s="12" t="s">
        <v>308</v>
      </c>
      <c r="G25" s="12" t="s">
        <v>309</v>
      </c>
      <c r="H25" s="12" t="s">
        <v>99</v>
      </c>
      <c r="I25" s="12" t="s">
        <v>118</v>
      </c>
      <c r="J25" s="12" t="s">
        <v>119</v>
      </c>
      <c r="K25" s="12" t="s">
        <v>119</v>
      </c>
      <c r="L25" s="13" t="s">
        <v>103</v>
      </c>
      <c r="M25" s="13" t="n">
        <v>29</v>
      </c>
      <c r="N25" s="13" t="s">
        <v>105</v>
      </c>
      <c r="O25" s="13" t="s">
        <v>306</v>
      </c>
      <c r="P25" s="13" t="n">
        <v>3</v>
      </c>
      <c r="Q25" s="13" t="s">
        <v>283</v>
      </c>
      <c r="R25" s="13" t="s">
        <v>123</v>
      </c>
      <c r="S25" s="13" t="s">
        <v>109</v>
      </c>
      <c r="T25" s="13" t="s">
        <v>110</v>
      </c>
      <c r="U25" s="14" t="str">
        <f aca="false">IF(OR(T25="",T25="Libre"),"Disponible",IF(T25="Bloqueado","Bloqueada: "&amp;IF(Y25="","falta motivo",Y25),IF(OR(T25="Aprobado",T25="En Trello"),"Cerrada",IF(T25="En revisión","En revisión: "&amp;IF(Z25="","falta revisor",Z25),IF(T25="Analizado","Lista para revisar: analizó "&amp;IF(S25="","falta responsable",S25),IF(S25="","Falta responsable","Ocupada por "&amp;S25))))))</f>
        <v>Lista para revisar: analizó Juan Fernando</v>
      </c>
      <c r="V25" s="14" t="str">
        <f aca="false">IF(AND(Z25&lt;&gt;"",Z25=S25),"El revisor no puede ser el responsable",IF(AND(OR(T25="Analizado",T25="En revisión",T25="Aprobado"),W25=""),"Falta la fuente del análisis",IF(AND(OR(T25="Aprobado",T25="En Trello"),Z25=""),"Aprobado sin revisor","")))</f>
        <v/>
      </c>
      <c r="W25" s="13" t="s">
        <v>111</v>
      </c>
      <c r="X25" s="13" t="s">
        <v>310</v>
      </c>
      <c r="Y25" s="13"/>
      <c r="Z25" s="13"/>
      <c r="AA25" s="15" t="n">
        <v>46313</v>
      </c>
      <c r="AB25" s="15"/>
      <c r="AC25" s="13" t="s">
        <v>311</v>
      </c>
    </row>
    <row r="26" customFormat="false" ht="72" hidden="false" customHeight="true" outlineLevel="0" collapsed="false">
      <c r="A26" s="12" t="s">
        <v>312</v>
      </c>
      <c r="B26" s="12" t="s">
        <v>292</v>
      </c>
      <c r="C26" s="12" t="n">
        <v>22</v>
      </c>
      <c r="D26" s="12" t="s">
        <v>313</v>
      </c>
      <c r="E26" s="12" t="s">
        <v>314</v>
      </c>
      <c r="F26" s="12" t="s">
        <v>315</v>
      </c>
      <c r="G26" s="12" t="s">
        <v>164</v>
      </c>
      <c r="H26" s="12" t="s">
        <v>316</v>
      </c>
      <c r="I26" s="12" t="s">
        <v>317</v>
      </c>
      <c r="J26" s="12" t="s">
        <v>318</v>
      </c>
      <c r="K26" s="12" t="s">
        <v>318</v>
      </c>
      <c r="L26" s="13" t="s">
        <v>120</v>
      </c>
      <c r="M26" s="13" t="n">
        <v>5</v>
      </c>
      <c r="N26" s="13" t="s">
        <v>273</v>
      </c>
      <c r="O26" s="13" t="s">
        <v>274</v>
      </c>
      <c r="P26" s="13" t="n">
        <v>5</v>
      </c>
      <c r="Q26" s="13" t="s">
        <v>295</v>
      </c>
      <c r="R26" s="13" t="s">
        <v>108</v>
      </c>
      <c r="S26" s="13" t="s">
        <v>109</v>
      </c>
      <c r="T26" s="13" t="s">
        <v>110</v>
      </c>
      <c r="U26" s="14" t="str">
        <f aca="false">IF(OR(T26="",T26="Libre"),"Disponible",IF(T26="Bloqueado","Bloqueada: "&amp;IF(Y26="","falta motivo",Y26),IF(OR(T26="Aprobado",T26="En Trello"),"Cerrada",IF(T26="En revisión","En revisión: "&amp;IF(Z26="","falta revisor",Z26),IF(T26="Analizado","Lista para revisar: analizó "&amp;IF(S26="","falta responsable",S26),IF(S26="","Falta responsable","Ocupada por "&amp;S26))))))</f>
        <v>Lista para revisar: analizó Juan Fernando</v>
      </c>
      <c r="V26" s="14" t="str">
        <f aca="false">IF(AND(Z26&lt;&gt;"",Z26=S26),"El revisor no puede ser el responsable",IF(AND(OR(T26="Analizado",T26="En revisión",T26="Aprobado"),W26=""),"Falta la fuente del análisis",IF(AND(OR(T26="Aprobado",T26="En Trello"),Z26=""),"Aprobado sin revisor","")))</f>
        <v/>
      </c>
      <c r="W26" s="13" t="s">
        <v>111</v>
      </c>
      <c r="X26" s="13" t="s">
        <v>319</v>
      </c>
      <c r="Y26" s="13"/>
      <c r="Z26" s="13"/>
      <c r="AA26" s="15" t="n">
        <v>46313</v>
      </c>
      <c r="AB26" s="15"/>
      <c r="AC26" s="13" t="s">
        <v>320</v>
      </c>
    </row>
    <row r="27" customFormat="false" ht="36" hidden="false" customHeight="true" outlineLevel="0" collapsed="false">
      <c r="A27" s="12" t="s">
        <v>321</v>
      </c>
      <c r="B27" s="12" t="s">
        <v>292</v>
      </c>
      <c r="C27" s="12" t="n">
        <v>23</v>
      </c>
      <c r="D27" s="12" t="s">
        <v>322</v>
      </c>
      <c r="E27" s="12" t="s">
        <v>323</v>
      </c>
      <c r="F27" s="12" t="s">
        <v>324</v>
      </c>
      <c r="G27" s="12" t="s">
        <v>98</v>
      </c>
      <c r="H27" s="12" t="s">
        <v>99</v>
      </c>
      <c r="I27" s="12" t="s">
        <v>171</v>
      </c>
      <c r="J27" s="12" t="s">
        <v>172</v>
      </c>
      <c r="K27" s="12" t="s">
        <v>173</v>
      </c>
      <c r="L27" s="13" t="s">
        <v>103</v>
      </c>
      <c r="M27" s="13" t="s">
        <v>104</v>
      </c>
      <c r="N27" s="13" t="s">
        <v>105</v>
      </c>
      <c r="O27" s="13" t="s">
        <v>325</v>
      </c>
      <c r="P27" s="13" t="n">
        <v>2</v>
      </c>
      <c r="Q27" s="13" t="s">
        <v>326</v>
      </c>
      <c r="R27" s="13" t="s">
        <v>108</v>
      </c>
      <c r="S27" s="13" t="s">
        <v>109</v>
      </c>
      <c r="T27" s="13" t="s">
        <v>110</v>
      </c>
      <c r="U27" s="14" t="str">
        <f aca="false">IF(OR(T27="",T27="Libre"),"Disponible",IF(T27="Bloqueado","Bloqueada: "&amp;IF(Y27="","falta motivo",Y27),IF(OR(T27="Aprobado",T27="En Trello"),"Cerrada",IF(T27="En revisión","En revisión: "&amp;IF(Z27="","falta revisor",Z27),IF(T27="Analizado","Lista para revisar: analizó "&amp;IF(S27="","falta responsable",S27),IF(S27="","Falta responsable","Ocupada por "&amp;S27))))))</f>
        <v>Lista para revisar: analizó Juan Fernando</v>
      </c>
      <c r="V27" s="14" t="str">
        <f aca="false">IF(AND(Z27&lt;&gt;"",Z27=S27),"El revisor no puede ser el responsable",IF(AND(OR(T27="Analizado",T27="En revisión",T27="Aprobado"),W27=""),"Falta la fuente del análisis",IF(AND(OR(T27="Aprobado",T27="En Trello"),Z27=""),"Aprobado sin revisor","")))</f>
        <v/>
      </c>
      <c r="W27" s="13" t="s">
        <v>111</v>
      </c>
      <c r="X27" s="13" t="s">
        <v>327</v>
      </c>
      <c r="Y27" s="13"/>
      <c r="Z27" s="13"/>
      <c r="AA27" s="15" t="n">
        <v>46313</v>
      </c>
      <c r="AB27" s="15"/>
      <c r="AC27" s="13" t="s">
        <v>328</v>
      </c>
    </row>
    <row r="28" customFormat="false" ht="60" hidden="false" customHeight="true" outlineLevel="0" collapsed="false">
      <c r="A28" s="12" t="s">
        <v>329</v>
      </c>
      <c r="B28" s="12" t="s">
        <v>292</v>
      </c>
      <c r="C28" s="12" t="n">
        <v>23</v>
      </c>
      <c r="D28" s="12" t="s">
        <v>330</v>
      </c>
      <c r="E28" s="12" t="s">
        <v>323</v>
      </c>
      <c r="F28" s="12" t="s">
        <v>331</v>
      </c>
      <c r="G28" s="12" t="s">
        <v>98</v>
      </c>
      <c r="H28" s="12" t="s">
        <v>99</v>
      </c>
      <c r="I28" s="12" t="s">
        <v>332</v>
      </c>
      <c r="J28" s="12" t="s">
        <v>333</v>
      </c>
      <c r="K28" s="12" t="s">
        <v>334</v>
      </c>
      <c r="L28" s="13" t="s">
        <v>103</v>
      </c>
      <c r="M28" s="13" t="s">
        <v>104</v>
      </c>
      <c r="N28" s="13" t="s">
        <v>105</v>
      </c>
      <c r="O28" s="13" t="s">
        <v>335</v>
      </c>
      <c r="P28" s="13" t="n">
        <v>2</v>
      </c>
      <c r="Q28" s="13" t="s">
        <v>283</v>
      </c>
      <c r="R28" s="13" t="s">
        <v>123</v>
      </c>
      <c r="S28" s="13" t="s">
        <v>109</v>
      </c>
      <c r="T28" s="13" t="s">
        <v>110</v>
      </c>
      <c r="U28" s="14" t="str">
        <f aca="false">IF(OR(T28="",T28="Libre"),"Disponible",IF(T28="Bloqueado","Bloqueada: "&amp;IF(Y28="","falta motivo",Y28),IF(OR(T28="Aprobado",T28="En Trello"),"Cerrada",IF(T28="En revisión","En revisión: "&amp;IF(Z28="","falta revisor",Z28),IF(T28="Analizado","Lista para revisar: analizó "&amp;IF(S28="","falta responsable",S28),IF(S28="","Falta responsable","Ocupada por "&amp;S28))))))</f>
        <v>Lista para revisar: analizó Juan Fernando</v>
      </c>
      <c r="V28" s="14" t="str">
        <f aca="false">IF(AND(Z28&lt;&gt;"",Z28=S28),"El revisor no puede ser el responsable",IF(AND(OR(T28="Analizado",T28="En revisión",T28="Aprobado"),W28=""),"Falta la fuente del análisis",IF(AND(OR(T28="Aprobado",T28="En Trello"),Z28=""),"Aprobado sin revisor","")))</f>
        <v/>
      </c>
      <c r="W28" s="13" t="s">
        <v>111</v>
      </c>
      <c r="X28" s="13" t="s">
        <v>336</v>
      </c>
      <c r="Y28" s="13"/>
      <c r="Z28" s="13"/>
      <c r="AA28" s="15" t="n">
        <v>46313</v>
      </c>
      <c r="AB28" s="15"/>
      <c r="AC28" s="13" t="s">
        <v>337</v>
      </c>
    </row>
    <row r="29" customFormat="false" ht="24" hidden="false" customHeight="true" outlineLevel="0" collapsed="false">
      <c r="A29" s="12" t="s">
        <v>338</v>
      </c>
      <c r="B29" s="12" t="s">
        <v>292</v>
      </c>
      <c r="C29" s="12" t="n">
        <v>23</v>
      </c>
      <c r="D29" s="12" t="s">
        <v>339</v>
      </c>
      <c r="E29" s="12" t="s">
        <v>323</v>
      </c>
      <c r="F29" s="12" t="s">
        <v>340</v>
      </c>
      <c r="G29" s="12" t="s">
        <v>132</v>
      </c>
      <c r="H29" s="12" t="s">
        <v>99</v>
      </c>
      <c r="I29" s="12" t="s">
        <v>118</v>
      </c>
      <c r="J29" s="12" t="s">
        <v>119</v>
      </c>
      <c r="K29" s="12" t="s">
        <v>119</v>
      </c>
      <c r="L29" s="13" t="s">
        <v>120</v>
      </c>
      <c r="M29" s="13" t="n">
        <v>3</v>
      </c>
      <c r="N29" s="13" t="s">
        <v>273</v>
      </c>
      <c r="O29" s="13" t="s">
        <v>274</v>
      </c>
      <c r="P29" s="13" t="n">
        <v>5</v>
      </c>
      <c r="Q29" s="13" t="s">
        <v>275</v>
      </c>
      <c r="R29" s="13" t="s">
        <v>108</v>
      </c>
      <c r="S29" s="13" t="s">
        <v>109</v>
      </c>
      <c r="T29" s="13" t="s">
        <v>110</v>
      </c>
      <c r="U29" s="14" t="str">
        <f aca="false">IF(OR(T29="",T29="Libre"),"Disponible",IF(T29="Bloqueado","Bloqueada: "&amp;IF(Y29="","falta motivo",Y29),IF(OR(T29="Aprobado",T29="En Trello"),"Cerrada",IF(T29="En revisión","En revisión: "&amp;IF(Z29="","falta revisor",Z29),IF(T29="Analizado","Lista para revisar: analizó "&amp;IF(S29="","falta responsable",S29),IF(S29="","Falta responsable","Ocupada por "&amp;S29))))))</f>
        <v>Lista para revisar: analizó Juan Fernando</v>
      </c>
      <c r="V29" s="14" t="str">
        <f aca="false">IF(AND(Z29&lt;&gt;"",Z29=S29),"El revisor no puede ser el responsable",IF(AND(OR(T29="Analizado",T29="En revisión",T29="Aprobado"),W29=""),"Falta la fuente del análisis",IF(AND(OR(T29="Aprobado",T29="En Trello"),Z29=""),"Aprobado sin revisor","")))</f>
        <v/>
      </c>
      <c r="W29" s="13" t="s">
        <v>111</v>
      </c>
      <c r="X29" s="13" t="s">
        <v>341</v>
      </c>
      <c r="Y29" s="13"/>
      <c r="Z29" s="13"/>
      <c r="AA29" s="15" t="n">
        <v>46313</v>
      </c>
      <c r="AB29" s="15"/>
      <c r="AC29" s="13" t="s">
        <v>342</v>
      </c>
    </row>
  </sheetData>
  <autoFilter ref="A1:AC29"/>
  <conditionalFormatting sqref="U2:U29">
    <cfRule type="expression" priority="2" aboveAverage="0" equalAverage="0" bottom="0" percent="0" rank="0" text="" dxfId="11">
      <formula>LEFT(U2,10)="Disponible"</formula>
    </cfRule>
    <cfRule type="expression" priority="3" aboveAverage="0" equalAverage="0" bottom="0" percent="0" rank="0" text="" dxfId="12">
      <formula>LEFT(U2,7)="Ocupada"</formula>
    </cfRule>
    <cfRule type="expression" priority="4" aboveAverage="0" equalAverage="0" bottom="0" percent="0" rank="0" text="" dxfId="13">
      <formula>LEFT(U2,9)="Bloqueada"</formula>
    </cfRule>
    <cfRule type="expression" priority="5" aboveAverage="0" equalAverage="0" bottom="0" percent="0" rank="0" text="" dxfId="14">
      <formula>LEFT(U2,7)="Cerrada"</formula>
    </cfRule>
    <cfRule type="expression" priority="6" aboveAverage="0" equalAverage="0" bottom="0" percent="0" rank="0" text="" dxfId="15">
      <formula>LEFT(U2,11)="En revisión"</formula>
    </cfRule>
    <cfRule type="expression" priority="7" aboveAverage="0" equalAverage="0" bottom="0" percent="0" rank="0" text="" dxfId="13">
      <formula>LEFT(U2,11)="Falta respo"</formula>
    </cfRule>
    <cfRule type="expression" priority="8" aboveAverage="0" equalAverage="0" bottom="0" percent="0" rank="0" text="" dxfId="16">
      <formula>LEFT(U2,10)="Lista para"</formula>
    </cfRule>
  </conditionalFormatting>
  <conditionalFormatting sqref="V2:V29">
    <cfRule type="expression" priority="9" aboveAverage="0" equalAverage="0" bottom="0" percent="0" rank="0" text="" dxfId="17">
      <formula>V2&lt;&gt;""</formula>
    </cfRule>
  </conditionalFormatting>
  <dataValidations count="6">
    <dataValidation allowBlank="true" errorStyle="stop" operator="between" showDropDown="false" showErrorMessage="false" showInputMessage="false" sqref="S2:S29 Z2:Z29" type="list">
      <formula1>"Juan Fernando,Juan José,Juliana,Jorge"</formula1>
      <formula2>0</formula2>
    </dataValidation>
    <dataValidation allowBlank="true" errorStyle="stop" operator="between" showDropDown="false" showErrorMessage="false" showInputMessage="false" sqref="T2:T29" type="list">
      <formula1>"Libre,En análisis,Analizado,En revisión,Aprobado,Bloqueado,En Trello"</formula1>
      <formula2>0</formula2>
    </dataValidation>
    <dataValidation allowBlank="true" errorStyle="stop" operator="between" showDropDown="false" showErrorMessage="false" showInputMessage="false" sqref="W2:W29" type="list">
      <formula1>"Hoja del PDF del anexo,Prompt con IA,Documento del docente,Retroalimentación del docente,Decisión del equipo,Análisis propio"</formula1>
      <formula2>0</formula2>
    </dataValidation>
    <dataValidation allowBlank="true" errorStyle="stop" operator="between" showDropDown="false" showErrorMessage="false" showInputMessage="false" sqref="L2:L29" type="list">
      <formula1>"Sí,No: hay diferencias,Hoja ilegible"</formula1>
      <formula2>0</formula2>
    </dataValidation>
    <dataValidation allowBlank="true" errorStyle="stop" operator="between" showDropDown="false" showErrorMessage="false" showInputMessage="false" sqref="N2:N29" type="list">
      <formula1>"Entidad por 2.1,Entidad por 2.3,Reutiliza otra entidad,Campo del paciente,Campo de la atención,Pendiente de decisión"</formula1>
      <formula2>0</formula2>
    </dataValidation>
    <dataValidation allowBlank="true" errorStyle="stop" operator="between" showDropDown="false" showErrorMessage="false" showInputMessage="false" sqref="P2:P29" type="list">
      <formula1>"1,2,3,4,5"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20"/>
    <col collapsed="false" customWidth="true" hidden="false" outlineLevel="0" max="4" min="4" style="0" width="10"/>
    <col collapsed="false" customWidth="true" hidden="false" outlineLevel="0" max="5" min="5" style="0" width="11"/>
    <col collapsed="false" customWidth="true" hidden="false" outlineLevel="0" max="6" min="6" style="0" width="16"/>
    <col collapsed="false" customWidth="true" hidden="false" outlineLevel="0" max="9" min="7" style="0" width="13"/>
    <col collapsed="false" customWidth="true" hidden="false" outlineLevel="0" max="10" min="10" style="0" width="24"/>
    <col collapsed="false" customWidth="true" hidden="false" outlineLevel="0" max="11" min="11" style="0" width="30"/>
  </cols>
  <sheetData>
    <row r="1" customFormat="false" ht="46.25" hidden="false" customHeight="false" outlineLevel="0" collapsed="false">
      <c r="A1" s="16" t="s">
        <v>343</v>
      </c>
      <c r="B1" s="16" t="s">
        <v>344</v>
      </c>
      <c r="C1" s="16" t="s">
        <v>345</v>
      </c>
      <c r="D1" s="16" t="s">
        <v>346</v>
      </c>
      <c r="E1" s="16" t="s">
        <v>347</v>
      </c>
      <c r="F1" s="16" t="s">
        <v>348</v>
      </c>
      <c r="G1" s="16" t="s">
        <v>349</v>
      </c>
      <c r="H1" s="17" t="s">
        <v>350</v>
      </c>
      <c r="I1" s="17" t="s">
        <v>351</v>
      </c>
      <c r="J1" s="16" t="s">
        <v>352</v>
      </c>
      <c r="K1" s="16" t="s">
        <v>353</v>
      </c>
    </row>
    <row r="2" customFormat="false" ht="23.85" hidden="false" customHeight="false" outlineLevel="0" collapsed="false">
      <c r="A2" s="18" t="s">
        <v>354</v>
      </c>
      <c r="B2" s="18" t="s">
        <v>355</v>
      </c>
      <c r="C2" s="18" t="s">
        <v>356</v>
      </c>
      <c r="D2" s="19" t="s">
        <v>133</v>
      </c>
      <c r="E2" s="19" t="s">
        <v>133</v>
      </c>
      <c r="F2" s="19" t="s">
        <v>357</v>
      </c>
      <c r="G2" s="19" t="n">
        <v>0</v>
      </c>
      <c r="H2" s="20" t="n">
        <v>3</v>
      </c>
      <c r="I2" s="20" t="n">
        <v>3</v>
      </c>
      <c r="J2" s="18" t="s">
        <v>358</v>
      </c>
      <c r="K2" s="18" t="s">
        <v>359</v>
      </c>
    </row>
    <row r="3" customFormat="false" ht="23.85" hidden="false" customHeight="false" outlineLevel="0" collapsed="false">
      <c r="A3" s="18" t="s">
        <v>135</v>
      </c>
      <c r="B3" s="18" t="s">
        <v>360</v>
      </c>
      <c r="C3" s="18" t="s">
        <v>361</v>
      </c>
      <c r="D3" s="19" t="s">
        <v>362</v>
      </c>
      <c r="E3" s="19" t="s">
        <v>133</v>
      </c>
      <c r="F3" s="19" t="s">
        <v>363</v>
      </c>
      <c r="G3" s="19" t="n">
        <v>0</v>
      </c>
      <c r="H3" s="20" t="n">
        <v>3</v>
      </c>
      <c r="I3" s="20" t="n">
        <v>3</v>
      </c>
      <c r="J3" s="18" t="s">
        <v>364</v>
      </c>
      <c r="K3" s="18" t="s">
        <v>365</v>
      </c>
    </row>
    <row r="4" customFormat="false" ht="35.05" hidden="false" customHeight="false" outlineLevel="0" collapsed="false">
      <c r="A4" s="18" t="s">
        <v>274</v>
      </c>
      <c r="B4" s="18" t="s">
        <v>366</v>
      </c>
      <c r="C4" s="18" t="s">
        <v>367</v>
      </c>
      <c r="D4" s="19" t="s">
        <v>368</v>
      </c>
      <c r="E4" s="19" t="s">
        <v>133</v>
      </c>
      <c r="F4" s="19" t="s">
        <v>369</v>
      </c>
      <c r="G4" s="19" t="n">
        <v>0</v>
      </c>
      <c r="H4" s="20" t="n">
        <v>3</v>
      </c>
      <c r="I4" s="20" t="n">
        <v>3</v>
      </c>
      <c r="J4" s="18" t="s">
        <v>370</v>
      </c>
      <c r="K4" s="18" t="s">
        <v>371</v>
      </c>
    </row>
    <row r="5" customFormat="false" ht="23.85" hidden="false" customHeight="false" outlineLevel="0" collapsed="false">
      <c r="A5" s="18" t="s">
        <v>106</v>
      </c>
      <c r="B5" s="18" t="s">
        <v>372</v>
      </c>
      <c r="C5" s="18" t="s">
        <v>373</v>
      </c>
      <c r="D5" s="19" t="s">
        <v>374</v>
      </c>
      <c r="E5" s="19" t="s">
        <v>375</v>
      </c>
      <c r="F5" s="19" t="s">
        <v>376</v>
      </c>
      <c r="G5" s="19" t="n">
        <v>0</v>
      </c>
      <c r="H5" s="20" t="n">
        <v>4</v>
      </c>
      <c r="I5" s="20" t="n">
        <v>1</v>
      </c>
      <c r="J5" s="18" t="s">
        <v>377</v>
      </c>
      <c r="K5" s="18" t="s">
        <v>378</v>
      </c>
    </row>
    <row r="6" customFormat="false" ht="15" hidden="false" customHeight="false" outlineLevel="0" collapsed="false">
      <c r="A6" s="18" t="s">
        <v>121</v>
      </c>
      <c r="B6" s="18" t="s">
        <v>379</v>
      </c>
      <c r="C6" s="18" t="s">
        <v>114</v>
      </c>
      <c r="D6" s="19" t="s">
        <v>119</v>
      </c>
      <c r="E6" s="19" t="n">
        <v>14</v>
      </c>
      <c r="F6" s="19" t="s">
        <v>380</v>
      </c>
      <c r="G6" s="19" t="n">
        <v>4</v>
      </c>
      <c r="H6" s="20" t="n">
        <v>4</v>
      </c>
      <c r="I6" s="20" t="n">
        <v>1</v>
      </c>
      <c r="J6" s="18" t="s">
        <v>381</v>
      </c>
      <c r="K6" s="18"/>
    </row>
    <row r="7" customFormat="false" ht="23.85" hidden="false" customHeight="false" outlineLevel="0" collapsed="false">
      <c r="A7" s="18" t="s">
        <v>174</v>
      </c>
      <c r="B7" s="18" t="s">
        <v>382</v>
      </c>
      <c r="C7" s="18" t="s">
        <v>167</v>
      </c>
      <c r="D7" s="19" t="s">
        <v>229</v>
      </c>
      <c r="E7" s="19" t="s">
        <v>375</v>
      </c>
      <c r="F7" s="19" t="s">
        <v>383</v>
      </c>
      <c r="G7" s="19" t="n">
        <v>0</v>
      </c>
      <c r="H7" s="20" t="n">
        <v>4</v>
      </c>
      <c r="I7" s="20" t="n">
        <v>1</v>
      </c>
      <c r="J7" s="18" t="s">
        <v>384</v>
      </c>
      <c r="K7" s="18" t="s">
        <v>385</v>
      </c>
    </row>
    <row r="8" customFormat="false" ht="23.85" hidden="false" customHeight="false" outlineLevel="0" collapsed="false">
      <c r="A8" s="18" t="s">
        <v>185</v>
      </c>
      <c r="B8" s="18" t="s">
        <v>386</v>
      </c>
      <c r="C8" s="18" t="s">
        <v>178</v>
      </c>
      <c r="D8" s="19" t="s">
        <v>203</v>
      </c>
      <c r="E8" s="19" t="n">
        <v>2</v>
      </c>
      <c r="F8" s="19" t="s">
        <v>387</v>
      </c>
      <c r="G8" s="19" t="n">
        <v>0</v>
      </c>
      <c r="H8" s="20" t="n">
        <v>4</v>
      </c>
      <c r="I8" s="20" t="n">
        <v>1</v>
      </c>
      <c r="J8" s="18" t="s">
        <v>388</v>
      </c>
      <c r="K8" s="18"/>
    </row>
    <row r="9" customFormat="false" ht="15" hidden="false" customHeight="false" outlineLevel="0" collapsed="false">
      <c r="A9" s="18" t="s">
        <v>195</v>
      </c>
      <c r="B9" s="18" t="s">
        <v>386</v>
      </c>
      <c r="C9" s="18" t="s">
        <v>189</v>
      </c>
      <c r="D9" s="19" t="s">
        <v>281</v>
      </c>
      <c r="E9" s="19" t="n">
        <v>2</v>
      </c>
      <c r="F9" s="19" t="s">
        <v>389</v>
      </c>
      <c r="G9" s="19" t="n">
        <v>0</v>
      </c>
      <c r="H9" s="20" t="n">
        <v>4</v>
      </c>
      <c r="I9" s="20" t="n">
        <v>1</v>
      </c>
      <c r="J9" s="18" t="s">
        <v>390</v>
      </c>
      <c r="K9" s="18" t="s">
        <v>391</v>
      </c>
    </row>
    <row r="10" customFormat="false" ht="15" hidden="false" customHeight="false" outlineLevel="0" collapsed="false">
      <c r="A10" s="18" t="s">
        <v>204</v>
      </c>
      <c r="B10" s="18" t="s">
        <v>392</v>
      </c>
      <c r="C10" s="18" t="s">
        <v>199</v>
      </c>
      <c r="D10" s="19" t="s">
        <v>152</v>
      </c>
      <c r="E10" s="19" t="n">
        <v>8</v>
      </c>
      <c r="F10" s="19" t="s">
        <v>380</v>
      </c>
      <c r="G10" s="19" t="n">
        <v>4</v>
      </c>
      <c r="H10" s="20" t="n">
        <v>4</v>
      </c>
      <c r="I10" s="20" t="n">
        <v>1</v>
      </c>
      <c r="J10" s="18" t="s">
        <v>381</v>
      </c>
      <c r="K10" s="18" t="s">
        <v>393</v>
      </c>
    </row>
    <row r="11" customFormat="false" ht="15" hidden="false" customHeight="false" outlineLevel="0" collapsed="false">
      <c r="A11" s="18" t="s">
        <v>221</v>
      </c>
      <c r="B11" s="18" t="s">
        <v>394</v>
      </c>
      <c r="C11" s="18" t="s">
        <v>215</v>
      </c>
      <c r="D11" s="19" t="s">
        <v>261</v>
      </c>
      <c r="E11" s="19" t="s">
        <v>375</v>
      </c>
      <c r="F11" s="19" t="s">
        <v>395</v>
      </c>
      <c r="G11" s="19" t="n">
        <v>0</v>
      </c>
      <c r="H11" s="20" t="n">
        <v>4</v>
      </c>
      <c r="I11" s="20" t="n">
        <v>1</v>
      </c>
      <c r="J11" s="18" t="s">
        <v>384</v>
      </c>
      <c r="K11" s="18"/>
    </row>
    <row r="12" customFormat="false" ht="15" hidden="false" customHeight="false" outlineLevel="0" collapsed="false">
      <c r="A12" s="18" t="s">
        <v>230</v>
      </c>
      <c r="B12" s="18" t="s">
        <v>396</v>
      </c>
      <c r="C12" s="18" t="s">
        <v>225</v>
      </c>
      <c r="D12" s="19" t="s">
        <v>96</v>
      </c>
      <c r="E12" s="19" t="n">
        <v>7</v>
      </c>
      <c r="F12" s="19" t="s">
        <v>380</v>
      </c>
      <c r="G12" s="19" t="n">
        <v>4</v>
      </c>
      <c r="H12" s="20" t="n">
        <v>4</v>
      </c>
      <c r="I12" s="20" t="n">
        <v>1</v>
      </c>
      <c r="J12" s="18" t="s">
        <v>381</v>
      </c>
      <c r="K12" s="18"/>
    </row>
    <row r="13" customFormat="false" ht="15" hidden="false" customHeight="false" outlineLevel="0" collapsed="false">
      <c r="A13" s="18" t="s">
        <v>238</v>
      </c>
      <c r="B13" s="18" t="s">
        <v>397</v>
      </c>
      <c r="C13" s="18" t="s">
        <v>234</v>
      </c>
      <c r="D13" s="19" t="s">
        <v>96</v>
      </c>
      <c r="E13" s="19" t="s">
        <v>375</v>
      </c>
      <c r="F13" s="19" t="s">
        <v>380</v>
      </c>
      <c r="G13" s="19" t="n">
        <v>4</v>
      </c>
      <c r="H13" s="20" t="n">
        <v>4</v>
      </c>
      <c r="I13" s="20" t="n">
        <v>1</v>
      </c>
      <c r="J13" s="18" t="s">
        <v>384</v>
      </c>
      <c r="K13" s="18"/>
    </row>
    <row r="14" customFormat="false" ht="23.85" hidden="false" customHeight="false" outlineLevel="0" collapsed="false">
      <c r="A14" s="18" t="s">
        <v>254</v>
      </c>
      <c r="B14" s="18" t="s">
        <v>397</v>
      </c>
      <c r="C14" s="18" t="s">
        <v>247</v>
      </c>
      <c r="D14" s="19" t="s">
        <v>210</v>
      </c>
      <c r="E14" s="19" t="s">
        <v>375</v>
      </c>
      <c r="F14" s="19" t="s">
        <v>380</v>
      </c>
      <c r="G14" s="19" t="n">
        <v>4</v>
      </c>
      <c r="H14" s="20" t="n">
        <v>4</v>
      </c>
      <c r="I14" s="20" t="n">
        <v>1</v>
      </c>
      <c r="J14" s="18" t="s">
        <v>384</v>
      </c>
      <c r="K14" s="18"/>
    </row>
    <row r="15" customFormat="false" ht="15" hidden="false" customHeight="false" outlineLevel="0" collapsed="false">
      <c r="A15" s="18" t="s">
        <v>282</v>
      </c>
      <c r="B15" s="18" t="s">
        <v>398</v>
      </c>
      <c r="C15" s="18" t="s">
        <v>278</v>
      </c>
      <c r="D15" s="19" t="s">
        <v>323</v>
      </c>
      <c r="E15" s="19" t="n">
        <v>9</v>
      </c>
      <c r="F15" s="19" t="s">
        <v>380</v>
      </c>
      <c r="G15" s="19" t="n">
        <v>4</v>
      </c>
      <c r="H15" s="20" t="n">
        <v>4</v>
      </c>
      <c r="I15" s="20" t="n">
        <v>1</v>
      </c>
      <c r="J15" s="18" t="s">
        <v>381</v>
      </c>
      <c r="K15" s="18"/>
    </row>
    <row r="16" customFormat="false" ht="15" hidden="false" customHeight="false" outlineLevel="0" collapsed="false">
      <c r="A16" s="18" t="s">
        <v>302</v>
      </c>
      <c r="B16" s="18" t="s">
        <v>379</v>
      </c>
      <c r="C16" s="18" t="s">
        <v>298</v>
      </c>
      <c r="D16" s="19" t="s">
        <v>131</v>
      </c>
      <c r="E16" s="19" t="n">
        <v>14</v>
      </c>
      <c r="F16" s="19" t="s">
        <v>380</v>
      </c>
      <c r="G16" s="19" t="n">
        <v>4</v>
      </c>
      <c r="H16" s="20" t="n">
        <v>4</v>
      </c>
      <c r="I16" s="20" t="n">
        <v>1</v>
      </c>
      <c r="J16" s="18" t="s">
        <v>381</v>
      </c>
      <c r="K16" s="18"/>
    </row>
    <row r="17" customFormat="false" ht="15" hidden="false" customHeight="false" outlineLevel="0" collapsed="false">
      <c r="A17" s="18" t="s">
        <v>306</v>
      </c>
      <c r="B17" s="18" t="s">
        <v>399</v>
      </c>
      <c r="C17" s="18" t="s">
        <v>305</v>
      </c>
      <c r="D17" s="19" t="s">
        <v>400</v>
      </c>
      <c r="E17" s="19" t="n">
        <v>29</v>
      </c>
      <c r="F17" s="19" t="s">
        <v>380</v>
      </c>
      <c r="G17" s="19" t="n">
        <v>4</v>
      </c>
      <c r="H17" s="20" t="n">
        <v>4</v>
      </c>
      <c r="I17" s="20" t="n">
        <v>1</v>
      </c>
      <c r="J17" s="18" t="s">
        <v>381</v>
      </c>
      <c r="K17" s="18"/>
    </row>
    <row r="18" customFormat="false" ht="35.05" hidden="false" customHeight="false" outlineLevel="0" collapsed="false">
      <c r="A18" s="18" t="s">
        <v>325</v>
      </c>
      <c r="B18" s="18" t="s">
        <v>401</v>
      </c>
      <c r="C18" s="18" t="s">
        <v>321</v>
      </c>
      <c r="D18" s="19" t="s">
        <v>402</v>
      </c>
      <c r="E18" s="19" t="s">
        <v>375</v>
      </c>
      <c r="F18" s="19" t="s">
        <v>403</v>
      </c>
      <c r="G18" s="19" t="n">
        <v>0</v>
      </c>
      <c r="H18" s="20" t="n">
        <v>4</v>
      </c>
      <c r="I18" s="20" t="n">
        <v>1</v>
      </c>
      <c r="J18" s="18" t="s">
        <v>404</v>
      </c>
      <c r="K18" s="18" t="s">
        <v>405</v>
      </c>
    </row>
    <row r="19" customFormat="false" ht="15" hidden="false" customHeight="false" outlineLevel="0" collapsed="false">
      <c r="A19" s="18" t="s">
        <v>335</v>
      </c>
      <c r="B19" s="18" t="s">
        <v>397</v>
      </c>
      <c r="C19" s="18" t="s">
        <v>329</v>
      </c>
      <c r="D19" s="19" t="s">
        <v>402</v>
      </c>
      <c r="E19" s="19" t="s">
        <v>375</v>
      </c>
      <c r="F19" s="19" t="s">
        <v>380</v>
      </c>
      <c r="G19" s="19" t="n">
        <v>4</v>
      </c>
      <c r="H19" s="20" t="n">
        <v>4</v>
      </c>
      <c r="I19" s="20" t="n">
        <v>1</v>
      </c>
      <c r="J19" s="18" t="s">
        <v>406</v>
      </c>
      <c r="K19" s="18" t="s">
        <v>407</v>
      </c>
    </row>
    <row r="20" customFormat="false" ht="23.85" hidden="false" customHeight="false" outlineLevel="0" collapsed="false">
      <c r="A20" s="21" t="s">
        <v>408</v>
      </c>
      <c r="B20" s="21" t="s">
        <v>409</v>
      </c>
      <c r="C20" s="21" t="s">
        <v>410</v>
      </c>
      <c r="D20" s="22" t="s">
        <v>411</v>
      </c>
      <c r="E20" s="22" t="s">
        <v>375</v>
      </c>
      <c r="F20" s="22" t="s">
        <v>380</v>
      </c>
      <c r="G20" s="22" t="n">
        <v>4</v>
      </c>
      <c r="H20" s="22" t="n">
        <v>4</v>
      </c>
      <c r="I20" s="22" t="n">
        <v>1</v>
      </c>
      <c r="J20" s="21" t="s">
        <v>412</v>
      </c>
      <c r="K20" s="21" t="s">
        <v>413</v>
      </c>
    </row>
    <row r="22" customFormat="false" ht="15" hidden="false" customHeight="false" outlineLevel="0" collapsed="false">
      <c r="A22" s="23" t="s">
        <v>414</v>
      </c>
      <c r="G22" s="24" t="n">
        <f aca="false">SUM(G2:G19)</f>
        <v>36</v>
      </c>
    </row>
    <row r="23" customFormat="false" ht="15" hidden="false" customHeight="false" outlineLevel="0" collapsed="false">
      <c r="A23" s="23" t="s">
        <v>415</v>
      </c>
      <c r="H23" s="24" t="n">
        <f aca="false">SUM(H2:H19)</f>
        <v>69</v>
      </c>
      <c r="I23" s="24" t="n">
        <f aca="false">SUM(I2:I19)</f>
        <v>24</v>
      </c>
    </row>
    <row r="24" customFormat="false" ht="15" hidden="false" customHeight="false" outlineLevel="0" collapsed="false">
      <c r="A24" s="23" t="s">
        <v>416</v>
      </c>
      <c r="H24" s="24" t="n">
        <f aca="false">H23+H20</f>
        <v>73</v>
      </c>
      <c r="I24" s="24" t="n">
        <f aca="false">I23+I20</f>
        <v>25</v>
      </c>
    </row>
    <row r="25" customFormat="false" ht="15" hidden="false" customHeight="false" outlineLevel="0" collapsed="false">
      <c r="A25" s="23" t="s">
        <v>417</v>
      </c>
      <c r="H25" s="24" t="n">
        <v>30</v>
      </c>
      <c r="I25" s="24" t="n">
        <v>30</v>
      </c>
    </row>
    <row r="27" customFormat="false" ht="45" hidden="false" customHeight="true" outlineLevel="0" collapsed="false">
      <c r="A27" s="25" t="s">
        <v>418</v>
      </c>
      <c r="B27" s="25"/>
      <c r="C27" s="25"/>
      <c r="D27" s="25"/>
      <c r="E27" s="25"/>
      <c r="F27" s="25"/>
      <c r="G27" s="25"/>
      <c r="H27" s="25"/>
      <c r="I27" s="25"/>
      <c r="J27" s="25"/>
      <c r="K27" s="25"/>
    </row>
  </sheetData>
  <mergeCells count="1">
    <mergeCell ref="A27:K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22"/>
    <col collapsed="false" customWidth="true" hidden="false" outlineLevel="0" max="4" min="4" style="0" width="34"/>
    <col collapsed="false" customWidth="true" hidden="false" outlineLevel="0" max="5" min="5" style="0" width="9"/>
    <col collapsed="false" customWidth="true" hidden="false" outlineLevel="0" max="6" min="6" style="0" width="26"/>
    <col collapsed="false" customWidth="true" hidden="false" outlineLevel="0" max="8" min="7" style="0" width="13"/>
    <col collapsed="false" customWidth="true" hidden="false" outlineLevel="0" max="9" min="9" style="0" width="20"/>
    <col collapsed="false" customWidth="true" hidden="false" outlineLevel="0" max="10" min="10" style="0" width="18"/>
    <col collapsed="false" customWidth="true" hidden="false" outlineLevel="0" max="11" min="11" style="0" width="30"/>
    <col collapsed="false" customWidth="true" hidden="false" outlineLevel="0" max="13" min="12" style="0" width="26"/>
    <col collapsed="false" customWidth="true" hidden="false" outlineLevel="0" max="14" min="14" style="0" width="34"/>
    <col collapsed="false" customWidth="true" hidden="false" outlineLevel="0" max="15" min="15" style="0" width="40"/>
  </cols>
  <sheetData>
    <row r="1" customFormat="false" ht="35.05" hidden="false" customHeight="false" outlineLevel="0" collapsed="false">
      <c r="A1" s="26" t="s">
        <v>66</v>
      </c>
      <c r="B1" s="26" t="s">
        <v>419</v>
      </c>
      <c r="C1" s="26" t="s">
        <v>420</v>
      </c>
      <c r="D1" s="26" t="s">
        <v>67</v>
      </c>
      <c r="E1" s="26" t="s">
        <v>68</v>
      </c>
      <c r="F1" s="26" t="s">
        <v>347</v>
      </c>
      <c r="G1" s="26" t="s">
        <v>421</v>
      </c>
      <c r="H1" s="26" t="s">
        <v>422</v>
      </c>
      <c r="I1" s="16" t="s">
        <v>77</v>
      </c>
      <c r="J1" s="16" t="s">
        <v>423</v>
      </c>
      <c r="K1" s="16" t="s">
        <v>424</v>
      </c>
      <c r="L1" s="16" t="s">
        <v>425</v>
      </c>
      <c r="M1" s="16" t="s">
        <v>426</v>
      </c>
      <c r="N1" s="16" t="s">
        <v>427</v>
      </c>
      <c r="O1" s="16" t="s">
        <v>428</v>
      </c>
    </row>
    <row r="2" customFormat="false" ht="57.45" hidden="false" customHeight="false" outlineLevel="0" collapsed="false">
      <c r="A2" s="7" t="n">
        <v>1</v>
      </c>
      <c r="B2" s="7" t="s">
        <v>429</v>
      </c>
      <c r="C2" s="7" t="s">
        <v>430</v>
      </c>
      <c r="D2" s="7" t="s">
        <v>95</v>
      </c>
      <c r="E2" s="7" t="s">
        <v>96</v>
      </c>
      <c r="F2" s="7" t="s">
        <v>104</v>
      </c>
      <c r="G2" s="7" t="s">
        <v>99</v>
      </c>
      <c r="H2" s="7" t="s">
        <v>93</v>
      </c>
      <c r="I2" s="18" t="s">
        <v>105</v>
      </c>
      <c r="J2" s="18" t="s">
        <v>431</v>
      </c>
      <c r="K2" s="18" t="s">
        <v>106</v>
      </c>
      <c r="L2" s="18" t="s">
        <v>107</v>
      </c>
      <c r="M2" s="18" t="s">
        <v>432</v>
      </c>
      <c r="N2" s="18" t="s">
        <v>433</v>
      </c>
      <c r="O2" s="18"/>
    </row>
    <row r="3" customFormat="false" ht="35.05" hidden="false" customHeight="false" outlineLevel="0" collapsed="false">
      <c r="A3" s="7" t="n">
        <v>2</v>
      </c>
      <c r="B3" s="7" t="s">
        <v>434</v>
      </c>
      <c r="C3" s="7" t="s">
        <v>430</v>
      </c>
      <c r="D3" s="7" t="s">
        <v>115</v>
      </c>
      <c r="E3" s="7" t="s">
        <v>96</v>
      </c>
      <c r="F3" s="7" t="n">
        <v>14</v>
      </c>
      <c r="G3" s="7" t="s">
        <v>99</v>
      </c>
      <c r="H3" s="7" t="s">
        <v>114</v>
      </c>
      <c r="I3" s="18" t="s">
        <v>105</v>
      </c>
      <c r="J3" s="18" t="s">
        <v>431</v>
      </c>
      <c r="K3" s="18" t="s">
        <v>121</v>
      </c>
      <c r="L3" s="18" t="s">
        <v>122</v>
      </c>
      <c r="M3" s="18" t="s">
        <v>435</v>
      </c>
      <c r="N3" s="18" t="s">
        <v>436</v>
      </c>
      <c r="O3" s="18" t="s">
        <v>437</v>
      </c>
    </row>
    <row r="4" customFormat="false" ht="23.85" hidden="false" customHeight="false" outlineLevel="0" collapsed="false">
      <c r="A4" s="7" t="n">
        <v>2</v>
      </c>
      <c r="B4" s="7" t="s">
        <v>434</v>
      </c>
      <c r="C4" s="7" t="s">
        <v>430</v>
      </c>
      <c r="D4" s="7" t="s">
        <v>127</v>
      </c>
      <c r="E4" s="7" t="s">
        <v>96</v>
      </c>
      <c r="F4" s="7" t="s">
        <v>133</v>
      </c>
      <c r="G4" s="7" t="s">
        <v>99</v>
      </c>
      <c r="H4" s="7" t="s">
        <v>126</v>
      </c>
      <c r="I4" s="18" t="s">
        <v>134</v>
      </c>
      <c r="J4" s="18" t="s">
        <v>431</v>
      </c>
      <c r="K4" s="18" t="s">
        <v>135</v>
      </c>
      <c r="L4" s="18" t="s">
        <v>136</v>
      </c>
      <c r="M4" s="18" t="s">
        <v>438</v>
      </c>
      <c r="N4" s="18" t="s">
        <v>439</v>
      </c>
      <c r="O4" s="18"/>
    </row>
    <row r="5" customFormat="false" ht="23.85" hidden="false" customHeight="false" outlineLevel="0" collapsed="false">
      <c r="A5" s="7" t="n">
        <v>3</v>
      </c>
      <c r="B5" s="7" t="s">
        <v>440</v>
      </c>
      <c r="C5" s="7" t="s">
        <v>430</v>
      </c>
      <c r="D5" s="7" t="s">
        <v>140</v>
      </c>
      <c r="E5" s="7" t="s">
        <v>96</v>
      </c>
      <c r="F5" s="7" t="s">
        <v>133</v>
      </c>
      <c r="G5" s="7" t="s">
        <v>99</v>
      </c>
      <c r="H5" s="7" t="s">
        <v>139</v>
      </c>
      <c r="I5" s="18" t="s">
        <v>134</v>
      </c>
      <c r="J5" s="18" t="s">
        <v>431</v>
      </c>
      <c r="K5" s="18" t="s">
        <v>135</v>
      </c>
      <c r="L5" s="18" t="s">
        <v>136</v>
      </c>
      <c r="M5" s="18" t="s">
        <v>438</v>
      </c>
      <c r="N5" s="18" t="s">
        <v>439</v>
      </c>
      <c r="O5" s="18"/>
    </row>
    <row r="6" customFormat="false" ht="57.45" hidden="false" customHeight="false" outlineLevel="0" collapsed="false">
      <c r="A6" s="7" t="n">
        <v>4</v>
      </c>
      <c r="B6" s="7" t="s">
        <v>147</v>
      </c>
      <c r="C6" s="7" t="s">
        <v>430</v>
      </c>
      <c r="D6" s="7" t="s">
        <v>147</v>
      </c>
      <c r="E6" s="7" t="s">
        <v>96</v>
      </c>
      <c r="F6" s="7" t="s">
        <v>133</v>
      </c>
      <c r="G6" s="7" t="s">
        <v>149</v>
      </c>
      <c r="H6" s="7" t="s">
        <v>146</v>
      </c>
      <c r="I6" s="18" t="s">
        <v>134</v>
      </c>
      <c r="J6" s="18" t="s">
        <v>431</v>
      </c>
      <c r="K6" s="18" t="s">
        <v>135</v>
      </c>
      <c r="L6" s="18" t="s">
        <v>153</v>
      </c>
      <c r="M6" s="18" t="s">
        <v>438</v>
      </c>
      <c r="N6" s="18" t="s">
        <v>439</v>
      </c>
      <c r="O6" s="18"/>
    </row>
    <row r="7" customFormat="false" ht="23.85" hidden="false" customHeight="false" outlineLevel="0" collapsed="false">
      <c r="A7" s="7" t="n">
        <v>5</v>
      </c>
      <c r="B7" s="7" t="s">
        <v>157</v>
      </c>
      <c r="C7" s="7" t="s">
        <v>430</v>
      </c>
      <c r="D7" s="7" t="s">
        <v>157</v>
      </c>
      <c r="E7" s="7" t="s">
        <v>96</v>
      </c>
      <c r="F7" s="7" t="n">
        <v>3</v>
      </c>
      <c r="G7" s="7" t="s">
        <v>99</v>
      </c>
      <c r="H7" s="7" t="s">
        <v>156</v>
      </c>
      <c r="I7" s="18" t="s">
        <v>134</v>
      </c>
      <c r="J7" s="18" t="s">
        <v>431</v>
      </c>
      <c r="K7" s="18" t="s">
        <v>135</v>
      </c>
      <c r="L7" s="18" t="s">
        <v>136</v>
      </c>
      <c r="M7" s="18" t="s">
        <v>438</v>
      </c>
      <c r="N7" s="18" t="s">
        <v>439</v>
      </c>
      <c r="O7" s="18"/>
    </row>
    <row r="8" customFormat="false" ht="23.85" hidden="false" customHeight="false" outlineLevel="0" collapsed="false">
      <c r="A8" s="7" t="n">
        <v>6</v>
      </c>
      <c r="B8" s="7" t="s">
        <v>162</v>
      </c>
      <c r="C8" s="7" t="s">
        <v>430</v>
      </c>
      <c r="D8" s="7" t="s">
        <v>162</v>
      </c>
      <c r="E8" s="7" t="s">
        <v>117</v>
      </c>
      <c r="F8" s="7" t="n">
        <v>5</v>
      </c>
      <c r="G8" s="7" t="s">
        <v>99</v>
      </c>
      <c r="H8" s="7" t="s">
        <v>161</v>
      </c>
      <c r="I8" s="18" t="s">
        <v>134</v>
      </c>
      <c r="J8" s="18" t="s">
        <v>431</v>
      </c>
      <c r="K8" s="18" t="s">
        <v>135</v>
      </c>
      <c r="L8" s="18" t="s">
        <v>136</v>
      </c>
      <c r="M8" s="18" t="s">
        <v>438</v>
      </c>
      <c r="N8" s="18" t="s">
        <v>439</v>
      </c>
      <c r="O8" s="18"/>
    </row>
    <row r="9" customFormat="false" ht="57.45" hidden="false" customHeight="false" outlineLevel="0" collapsed="false">
      <c r="A9" s="7" t="n">
        <v>7</v>
      </c>
      <c r="B9" s="7" t="s">
        <v>441</v>
      </c>
      <c r="C9" s="7" t="s">
        <v>430</v>
      </c>
      <c r="D9" s="7" t="s">
        <v>169</v>
      </c>
      <c r="E9" s="7" t="s">
        <v>117</v>
      </c>
      <c r="F9" s="7" t="s">
        <v>104</v>
      </c>
      <c r="G9" s="7" t="s">
        <v>99</v>
      </c>
      <c r="H9" s="7" t="s">
        <v>167</v>
      </c>
      <c r="I9" s="18" t="s">
        <v>105</v>
      </c>
      <c r="J9" s="18" t="s">
        <v>431</v>
      </c>
      <c r="K9" s="18" t="s">
        <v>174</v>
      </c>
      <c r="L9" s="18" t="s">
        <v>175</v>
      </c>
      <c r="M9" s="18" t="s">
        <v>442</v>
      </c>
      <c r="N9" s="18" t="s">
        <v>433</v>
      </c>
      <c r="O9" s="18"/>
    </row>
    <row r="10" customFormat="false" ht="35.05" hidden="false" customHeight="false" outlineLevel="0" collapsed="false">
      <c r="A10" s="7" t="n">
        <v>8</v>
      </c>
      <c r="B10" s="7" t="s">
        <v>185</v>
      </c>
      <c r="C10" s="7" t="s">
        <v>430</v>
      </c>
      <c r="D10" s="7" t="s">
        <v>179</v>
      </c>
      <c r="E10" s="7" t="s">
        <v>117</v>
      </c>
      <c r="F10" s="7" t="n">
        <v>2</v>
      </c>
      <c r="G10" s="7" t="s">
        <v>181</v>
      </c>
      <c r="H10" s="7" t="s">
        <v>178</v>
      </c>
      <c r="I10" s="18" t="s">
        <v>184</v>
      </c>
      <c r="J10" s="18" t="s">
        <v>431</v>
      </c>
      <c r="K10" s="18" t="s">
        <v>185</v>
      </c>
      <c r="L10" s="18" t="s">
        <v>186</v>
      </c>
      <c r="M10" s="18" t="s">
        <v>380</v>
      </c>
      <c r="N10" s="18" t="s">
        <v>433</v>
      </c>
      <c r="O10" s="18" t="s">
        <v>443</v>
      </c>
    </row>
    <row r="11" customFormat="false" ht="35.05" hidden="false" customHeight="false" outlineLevel="0" collapsed="false">
      <c r="A11" s="7" t="n">
        <v>9</v>
      </c>
      <c r="B11" s="7" t="s">
        <v>195</v>
      </c>
      <c r="C11" s="7" t="s">
        <v>430</v>
      </c>
      <c r="D11" s="7" t="s">
        <v>190</v>
      </c>
      <c r="E11" s="7" t="s">
        <v>117</v>
      </c>
      <c r="F11" s="7" t="n">
        <v>2</v>
      </c>
      <c r="G11" s="7" t="s">
        <v>192</v>
      </c>
      <c r="H11" s="7" t="s">
        <v>189</v>
      </c>
      <c r="I11" s="18" t="s">
        <v>184</v>
      </c>
      <c r="J11" s="18" t="s">
        <v>431</v>
      </c>
      <c r="K11" s="18" t="s">
        <v>195</v>
      </c>
      <c r="L11" s="18" t="s">
        <v>196</v>
      </c>
      <c r="M11" s="18" t="s">
        <v>380</v>
      </c>
      <c r="N11" s="18" t="s">
        <v>433</v>
      </c>
      <c r="O11" s="18" t="s">
        <v>444</v>
      </c>
    </row>
    <row r="12" customFormat="false" ht="46.25" hidden="false" customHeight="false" outlineLevel="0" collapsed="false">
      <c r="A12" s="7" t="n">
        <v>10</v>
      </c>
      <c r="B12" s="7" t="s">
        <v>200</v>
      </c>
      <c r="C12" s="7" t="s">
        <v>430</v>
      </c>
      <c r="D12" s="7" t="s">
        <v>200</v>
      </c>
      <c r="E12" s="7" t="s">
        <v>201</v>
      </c>
      <c r="F12" s="7" t="n">
        <v>8</v>
      </c>
      <c r="G12" s="7" t="s">
        <v>99</v>
      </c>
      <c r="H12" s="7" t="s">
        <v>199</v>
      </c>
      <c r="I12" s="18" t="s">
        <v>105</v>
      </c>
      <c r="J12" s="18" t="s">
        <v>431</v>
      </c>
      <c r="K12" s="18" t="s">
        <v>204</v>
      </c>
      <c r="L12" s="18" t="s">
        <v>205</v>
      </c>
      <c r="M12" s="18" t="s">
        <v>445</v>
      </c>
      <c r="N12" s="18" t="s">
        <v>446</v>
      </c>
      <c r="O12" s="18" t="s">
        <v>447</v>
      </c>
    </row>
    <row r="13" customFormat="false" ht="46.25" hidden="false" customHeight="false" outlineLevel="0" collapsed="false">
      <c r="A13" s="7" t="n">
        <v>11</v>
      </c>
      <c r="B13" s="7" t="s">
        <v>448</v>
      </c>
      <c r="C13" s="7" t="s">
        <v>430</v>
      </c>
      <c r="D13" s="7" t="s">
        <v>209</v>
      </c>
      <c r="E13" s="7" t="s">
        <v>210</v>
      </c>
      <c r="F13" s="7" t="s">
        <v>104</v>
      </c>
      <c r="G13" s="7" t="s">
        <v>99</v>
      </c>
      <c r="H13" s="7" t="s">
        <v>208</v>
      </c>
      <c r="I13" s="18" t="s">
        <v>211</v>
      </c>
      <c r="J13" s="18" t="s">
        <v>431</v>
      </c>
      <c r="K13" s="18" t="s">
        <v>106</v>
      </c>
      <c r="L13" s="18" t="s">
        <v>212</v>
      </c>
      <c r="M13" s="18" t="s">
        <v>449</v>
      </c>
      <c r="N13" s="18" t="s">
        <v>450</v>
      </c>
      <c r="O13" s="18"/>
    </row>
    <row r="14" customFormat="false" ht="57.45" hidden="false" customHeight="false" outlineLevel="0" collapsed="false">
      <c r="A14" s="7" t="n">
        <v>12</v>
      </c>
      <c r="B14" s="7" t="s">
        <v>451</v>
      </c>
      <c r="C14" s="7" t="s">
        <v>430</v>
      </c>
      <c r="D14" s="7" t="s">
        <v>216</v>
      </c>
      <c r="E14" s="7" t="s">
        <v>210</v>
      </c>
      <c r="F14" s="7" t="s">
        <v>104</v>
      </c>
      <c r="G14" s="7" t="s">
        <v>99</v>
      </c>
      <c r="H14" s="7" t="s">
        <v>215</v>
      </c>
      <c r="I14" s="18" t="s">
        <v>105</v>
      </c>
      <c r="J14" s="18" t="s">
        <v>431</v>
      </c>
      <c r="K14" s="18" t="s">
        <v>221</v>
      </c>
      <c r="L14" s="18" t="s">
        <v>222</v>
      </c>
      <c r="M14" s="18" t="s">
        <v>445</v>
      </c>
      <c r="N14" s="18" t="s">
        <v>433</v>
      </c>
      <c r="O14" s="18" t="s">
        <v>452</v>
      </c>
    </row>
    <row r="15" customFormat="false" ht="35.05" hidden="false" customHeight="false" outlineLevel="0" collapsed="false">
      <c r="A15" s="7" t="n">
        <v>13</v>
      </c>
      <c r="B15" s="7" t="s">
        <v>453</v>
      </c>
      <c r="C15" s="7" t="s">
        <v>430</v>
      </c>
      <c r="D15" s="7" t="s">
        <v>227</v>
      </c>
      <c r="E15" s="7" t="s">
        <v>210</v>
      </c>
      <c r="F15" s="7" t="n">
        <v>7</v>
      </c>
      <c r="G15" s="7" t="s">
        <v>99</v>
      </c>
      <c r="H15" s="7" t="s">
        <v>225</v>
      </c>
      <c r="I15" s="18" t="s">
        <v>105</v>
      </c>
      <c r="J15" s="18" t="s">
        <v>431</v>
      </c>
      <c r="K15" s="18" t="s">
        <v>230</v>
      </c>
      <c r="L15" s="18" t="s">
        <v>231</v>
      </c>
      <c r="M15" s="18" t="s">
        <v>445</v>
      </c>
      <c r="N15" s="18" t="s">
        <v>454</v>
      </c>
      <c r="O15" s="18" t="s">
        <v>455</v>
      </c>
    </row>
    <row r="16" customFormat="false" ht="35.05" hidden="false" customHeight="false" outlineLevel="0" collapsed="false">
      <c r="A16" s="7" t="n">
        <v>13</v>
      </c>
      <c r="B16" s="7" t="s">
        <v>453</v>
      </c>
      <c r="C16" s="7" t="s">
        <v>430</v>
      </c>
      <c r="D16" s="7" t="s">
        <v>235</v>
      </c>
      <c r="E16" s="7" t="s">
        <v>210</v>
      </c>
      <c r="F16" s="7" t="s">
        <v>104</v>
      </c>
      <c r="G16" s="7" t="s">
        <v>99</v>
      </c>
      <c r="H16" s="7" t="s">
        <v>234</v>
      </c>
      <c r="I16" s="18" t="s">
        <v>105</v>
      </c>
      <c r="J16" s="18" t="s">
        <v>431</v>
      </c>
      <c r="K16" s="18" t="s">
        <v>238</v>
      </c>
      <c r="L16" s="18" t="s">
        <v>231</v>
      </c>
      <c r="M16" s="18" t="s">
        <v>445</v>
      </c>
      <c r="N16" s="18" t="s">
        <v>456</v>
      </c>
      <c r="O16" s="18" t="s">
        <v>457</v>
      </c>
    </row>
    <row r="17" customFormat="false" ht="23.85" hidden="false" customHeight="false" outlineLevel="0" collapsed="false">
      <c r="A17" s="7" t="n">
        <v>14</v>
      </c>
      <c r="B17" s="7" t="s">
        <v>242</v>
      </c>
      <c r="C17" s="7" t="s">
        <v>430</v>
      </c>
      <c r="D17" s="7" t="s">
        <v>242</v>
      </c>
      <c r="E17" s="7" t="s">
        <v>210</v>
      </c>
      <c r="F17" s="7" t="n">
        <v>2</v>
      </c>
      <c r="G17" s="7" t="s">
        <v>99</v>
      </c>
      <c r="H17" s="7" t="s">
        <v>241</v>
      </c>
      <c r="I17" s="18" t="s">
        <v>134</v>
      </c>
      <c r="J17" s="18" t="s">
        <v>431</v>
      </c>
      <c r="K17" s="18" t="s">
        <v>135</v>
      </c>
      <c r="L17" s="18" t="s">
        <v>244</v>
      </c>
      <c r="M17" s="18" t="s">
        <v>458</v>
      </c>
      <c r="N17" s="18" t="s">
        <v>439</v>
      </c>
      <c r="O17" s="18"/>
    </row>
    <row r="18" customFormat="false" ht="35.05" hidden="false" customHeight="false" outlineLevel="0" collapsed="false">
      <c r="A18" s="7" t="n">
        <v>15</v>
      </c>
      <c r="B18" s="7" t="s">
        <v>459</v>
      </c>
      <c r="C18" s="7" t="s">
        <v>430</v>
      </c>
      <c r="D18" s="7" t="s">
        <v>248</v>
      </c>
      <c r="E18" s="7" t="s">
        <v>249</v>
      </c>
      <c r="F18" s="7" t="s">
        <v>104</v>
      </c>
      <c r="G18" s="7" t="s">
        <v>99</v>
      </c>
      <c r="H18" s="7" t="s">
        <v>247</v>
      </c>
      <c r="I18" s="18" t="s">
        <v>105</v>
      </c>
      <c r="J18" s="18" t="s">
        <v>431</v>
      </c>
      <c r="K18" s="18" t="s">
        <v>254</v>
      </c>
      <c r="L18" s="18" t="s">
        <v>231</v>
      </c>
      <c r="M18" s="18" t="s">
        <v>460</v>
      </c>
      <c r="N18" s="18" t="s">
        <v>461</v>
      </c>
      <c r="O18" s="18"/>
    </row>
    <row r="19" customFormat="false" ht="23.85" hidden="false" customHeight="false" outlineLevel="0" collapsed="false">
      <c r="A19" s="7" t="n">
        <v>16</v>
      </c>
      <c r="B19" s="7" t="s">
        <v>258</v>
      </c>
      <c r="C19" s="7" t="s">
        <v>462</v>
      </c>
      <c r="D19" s="7" t="s">
        <v>258</v>
      </c>
      <c r="E19" s="7" t="s">
        <v>151</v>
      </c>
      <c r="F19" s="7" t="s">
        <v>104</v>
      </c>
      <c r="G19" s="7" t="s">
        <v>99</v>
      </c>
      <c r="H19" s="7" t="s">
        <v>257</v>
      </c>
      <c r="I19" s="18" t="s">
        <v>262</v>
      </c>
      <c r="J19" s="18" t="s">
        <v>431</v>
      </c>
      <c r="K19" s="18" t="s">
        <v>263</v>
      </c>
      <c r="L19" s="18" t="s">
        <v>264</v>
      </c>
      <c r="M19" s="18" t="s">
        <v>463</v>
      </c>
      <c r="N19" s="18" t="s">
        <v>464</v>
      </c>
      <c r="O19" s="18"/>
    </row>
    <row r="20" customFormat="false" ht="23.85" hidden="false" customHeight="false" outlineLevel="0" collapsed="false">
      <c r="A20" s="7" t="n">
        <v>17</v>
      </c>
      <c r="B20" s="7" t="s">
        <v>271</v>
      </c>
      <c r="C20" s="7" t="s">
        <v>462</v>
      </c>
      <c r="D20" s="7" t="s">
        <v>271</v>
      </c>
      <c r="E20" s="7" t="s">
        <v>151</v>
      </c>
      <c r="F20" s="7" t="s">
        <v>133</v>
      </c>
      <c r="G20" s="7" t="s">
        <v>149</v>
      </c>
      <c r="H20" s="7" t="s">
        <v>270</v>
      </c>
      <c r="I20" s="18" t="s">
        <v>273</v>
      </c>
      <c r="J20" s="18" t="s">
        <v>431</v>
      </c>
      <c r="K20" s="18" t="s">
        <v>274</v>
      </c>
      <c r="L20" s="18" t="s">
        <v>275</v>
      </c>
      <c r="M20" s="18" t="s">
        <v>463</v>
      </c>
      <c r="N20" s="18" t="s">
        <v>439</v>
      </c>
      <c r="O20" s="18"/>
    </row>
    <row r="21" customFormat="false" ht="35.05" hidden="false" customHeight="false" outlineLevel="0" collapsed="false">
      <c r="A21" s="7" t="n">
        <v>18</v>
      </c>
      <c r="B21" s="7" t="s">
        <v>465</v>
      </c>
      <c r="C21" s="7" t="s">
        <v>462</v>
      </c>
      <c r="D21" s="7" t="s">
        <v>279</v>
      </c>
      <c r="E21" s="7" t="s">
        <v>151</v>
      </c>
      <c r="F21" s="7" t="n">
        <v>9</v>
      </c>
      <c r="G21" s="7" t="s">
        <v>99</v>
      </c>
      <c r="H21" s="7" t="s">
        <v>278</v>
      </c>
      <c r="I21" s="18" t="s">
        <v>105</v>
      </c>
      <c r="J21" s="18" t="s">
        <v>431</v>
      </c>
      <c r="K21" s="18" t="s">
        <v>282</v>
      </c>
      <c r="L21" s="18" t="s">
        <v>283</v>
      </c>
      <c r="M21" s="18" t="s">
        <v>466</v>
      </c>
      <c r="N21" s="18" t="s">
        <v>467</v>
      </c>
      <c r="O21" s="18" t="s">
        <v>468</v>
      </c>
    </row>
    <row r="22" customFormat="false" ht="23.85" hidden="false" customHeight="false" outlineLevel="0" collapsed="false">
      <c r="A22" s="7" t="n">
        <v>18</v>
      </c>
      <c r="B22" s="7" t="s">
        <v>465</v>
      </c>
      <c r="C22" s="7" t="s">
        <v>462</v>
      </c>
      <c r="D22" s="7" t="s">
        <v>287</v>
      </c>
      <c r="E22" s="7" t="s">
        <v>151</v>
      </c>
      <c r="F22" s="7" t="n">
        <v>5</v>
      </c>
      <c r="G22" s="7" t="s">
        <v>99</v>
      </c>
      <c r="H22" s="7" t="s">
        <v>286</v>
      </c>
      <c r="I22" s="18" t="s">
        <v>273</v>
      </c>
      <c r="J22" s="18" t="s">
        <v>431</v>
      </c>
      <c r="K22" s="18" t="s">
        <v>274</v>
      </c>
      <c r="L22" s="18" t="s">
        <v>275</v>
      </c>
      <c r="M22" s="18" t="s">
        <v>466</v>
      </c>
      <c r="N22" s="18" t="s">
        <v>439</v>
      </c>
      <c r="O22" s="18"/>
    </row>
    <row r="23" customFormat="false" ht="23.85" hidden="false" customHeight="false" outlineLevel="0" collapsed="false">
      <c r="A23" s="7" t="n">
        <v>19</v>
      </c>
      <c r="B23" s="7" t="s">
        <v>293</v>
      </c>
      <c r="C23" s="7" t="s">
        <v>462</v>
      </c>
      <c r="D23" s="7" t="s">
        <v>293</v>
      </c>
      <c r="E23" s="7" t="s">
        <v>151</v>
      </c>
      <c r="F23" s="7" t="n">
        <v>5</v>
      </c>
      <c r="G23" s="7" t="s">
        <v>99</v>
      </c>
      <c r="H23" s="7" t="s">
        <v>291</v>
      </c>
      <c r="I23" s="18" t="s">
        <v>273</v>
      </c>
      <c r="J23" s="18" t="s">
        <v>431</v>
      </c>
      <c r="K23" s="18" t="s">
        <v>274</v>
      </c>
      <c r="L23" s="18" t="s">
        <v>295</v>
      </c>
      <c r="M23" s="18" t="s">
        <v>469</v>
      </c>
      <c r="N23" s="18" t="s">
        <v>439</v>
      </c>
      <c r="O23" s="18"/>
    </row>
    <row r="24" customFormat="false" ht="35.05" hidden="false" customHeight="false" outlineLevel="0" collapsed="false">
      <c r="A24" s="7" t="n">
        <v>20</v>
      </c>
      <c r="B24" s="7" t="s">
        <v>299</v>
      </c>
      <c r="C24" s="7" t="s">
        <v>462</v>
      </c>
      <c r="D24" s="7" t="s">
        <v>299</v>
      </c>
      <c r="E24" s="7" t="s">
        <v>300</v>
      </c>
      <c r="F24" s="7" t="n">
        <v>14</v>
      </c>
      <c r="G24" s="7" t="s">
        <v>99</v>
      </c>
      <c r="H24" s="7" t="s">
        <v>298</v>
      </c>
      <c r="I24" s="18" t="s">
        <v>105</v>
      </c>
      <c r="J24" s="18" t="s">
        <v>431</v>
      </c>
      <c r="K24" s="18" t="s">
        <v>302</v>
      </c>
      <c r="L24" s="18" t="s">
        <v>283</v>
      </c>
      <c r="M24" s="18" t="s">
        <v>469</v>
      </c>
      <c r="N24" s="18" t="s">
        <v>470</v>
      </c>
      <c r="O24" s="18"/>
    </row>
    <row r="25" customFormat="false" ht="35.05" hidden="false" customHeight="false" outlineLevel="0" collapsed="false">
      <c r="A25" s="7" t="n">
        <v>21</v>
      </c>
      <c r="B25" s="7" t="s">
        <v>306</v>
      </c>
      <c r="C25" s="7" t="s">
        <v>462</v>
      </c>
      <c r="D25" s="7" t="s">
        <v>306</v>
      </c>
      <c r="E25" s="7" t="s">
        <v>307</v>
      </c>
      <c r="F25" s="7" t="n">
        <v>29</v>
      </c>
      <c r="G25" s="7" t="s">
        <v>99</v>
      </c>
      <c r="H25" s="7" t="s">
        <v>305</v>
      </c>
      <c r="I25" s="18" t="s">
        <v>105</v>
      </c>
      <c r="J25" s="18" t="s">
        <v>431</v>
      </c>
      <c r="K25" s="18" t="s">
        <v>306</v>
      </c>
      <c r="L25" s="18" t="s">
        <v>283</v>
      </c>
      <c r="M25" s="18" t="s">
        <v>471</v>
      </c>
      <c r="N25" s="18" t="s">
        <v>472</v>
      </c>
      <c r="O25" s="18" t="s">
        <v>473</v>
      </c>
    </row>
    <row r="26" customFormat="false" ht="35.05" hidden="false" customHeight="false" outlineLevel="0" collapsed="false">
      <c r="A26" s="7" t="n">
        <v>22</v>
      </c>
      <c r="B26" s="7" t="s">
        <v>474</v>
      </c>
      <c r="C26" s="7" t="s">
        <v>462</v>
      </c>
      <c r="D26" s="7" t="s">
        <v>313</v>
      </c>
      <c r="E26" s="7" t="s">
        <v>314</v>
      </c>
      <c r="F26" s="7" t="n">
        <v>5</v>
      </c>
      <c r="G26" s="7" t="s">
        <v>316</v>
      </c>
      <c r="H26" s="7" t="s">
        <v>312</v>
      </c>
      <c r="I26" s="18" t="s">
        <v>273</v>
      </c>
      <c r="J26" s="18" t="s">
        <v>431</v>
      </c>
      <c r="K26" s="18" t="s">
        <v>274</v>
      </c>
      <c r="L26" s="18" t="s">
        <v>295</v>
      </c>
      <c r="M26" s="18" t="s">
        <v>475</v>
      </c>
      <c r="N26" s="18" t="s">
        <v>439</v>
      </c>
      <c r="O26" s="18" t="s">
        <v>476</v>
      </c>
    </row>
    <row r="27" customFormat="false" ht="46.25" hidden="false" customHeight="false" outlineLevel="0" collapsed="false">
      <c r="A27" s="7" t="n">
        <v>23</v>
      </c>
      <c r="B27" s="7" t="s">
        <v>477</v>
      </c>
      <c r="C27" s="7" t="s">
        <v>462</v>
      </c>
      <c r="D27" s="7" t="s">
        <v>322</v>
      </c>
      <c r="E27" s="7" t="s">
        <v>323</v>
      </c>
      <c r="F27" s="7" t="s">
        <v>104</v>
      </c>
      <c r="G27" s="7" t="s">
        <v>99</v>
      </c>
      <c r="H27" s="7" t="s">
        <v>321</v>
      </c>
      <c r="I27" s="18" t="s">
        <v>105</v>
      </c>
      <c r="J27" s="18" t="s">
        <v>431</v>
      </c>
      <c r="K27" s="18" t="s">
        <v>325</v>
      </c>
      <c r="L27" s="18" t="s">
        <v>326</v>
      </c>
      <c r="M27" s="18" t="s">
        <v>478</v>
      </c>
      <c r="N27" s="18" t="s">
        <v>433</v>
      </c>
      <c r="O27" s="18"/>
    </row>
    <row r="28" customFormat="false" ht="35.05" hidden="false" customHeight="false" outlineLevel="0" collapsed="false">
      <c r="A28" s="7" t="n">
        <v>23</v>
      </c>
      <c r="B28" s="7" t="s">
        <v>477</v>
      </c>
      <c r="C28" s="7" t="s">
        <v>462</v>
      </c>
      <c r="D28" s="7" t="s">
        <v>330</v>
      </c>
      <c r="E28" s="7" t="s">
        <v>323</v>
      </c>
      <c r="F28" s="7" t="s">
        <v>104</v>
      </c>
      <c r="G28" s="7" t="s">
        <v>99</v>
      </c>
      <c r="H28" s="7" t="s">
        <v>329</v>
      </c>
      <c r="I28" s="18" t="s">
        <v>105</v>
      </c>
      <c r="J28" s="18" t="s">
        <v>431</v>
      </c>
      <c r="K28" s="18" t="s">
        <v>335</v>
      </c>
      <c r="L28" s="18" t="s">
        <v>283</v>
      </c>
      <c r="M28" s="18" t="s">
        <v>479</v>
      </c>
      <c r="N28" s="18" t="s">
        <v>480</v>
      </c>
      <c r="O28" s="18" t="s">
        <v>481</v>
      </c>
    </row>
    <row r="29" customFormat="false" ht="23.85" hidden="false" customHeight="false" outlineLevel="0" collapsed="false">
      <c r="A29" s="7" t="n">
        <v>23</v>
      </c>
      <c r="B29" s="7" t="s">
        <v>477</v>
      </c>
      <c r="C29" s="7" t="s">
        <v>462</v>
      </c>
      <c r="D29" s="7" t="s">
        <v>339</v>
      </c>
      <c r="E29" s="7" t="s">
        <v>323</v>
      </c>
      <c r="F29" s="7" t="n">
        <v>3</v>
      </c>
      <c r="G29" s="7" t="s">
        <v>99</v>
      </c>
      <c r="H29" s="7" t="s">
        <v>338</v>
      </c>
      <c r="I29" s="18" t="s">
        <v>273</v>
      </c>
      <c r="J29" s="18" t="s">
        <v>431</v>
      </c>
      <c r="K29" s="18" t="s">
        <v>274</v>
      </c>
      <c r="L29" s="18" t="s">
        <v>275</v>
      </c>
      <c r="M29" s="18" t="s">
        <v>482</v>
      </c>
      <c r="N29" s="18" t="s">
        <v>439</v>
      </c>
      <c r="O29" s="18"/>
    </row>
    <row r="30" customFormat="false" ht="23.85" hidden="false" customHeight="false" outlineLevel="0" collapsed="false">
      <c r="A30" s="7" t="n">
        <v>24</v>
      </c>
      <c r="B30" s="7" t="s">
        <v>483</v>
      </c>
      <c r="C30" s="7" t="s">
        <v>484</v>
      </c>
      <c r="D30" s="7" t="s">
        <v>485</v>
      </c>
      <c r="E30" s="7" t="s">
        <v>323</v>
      </c>
      <c r="F30" s="7" t="s">
        <v>486</v>
      </c>
      <c r="G30" s="7" t="s">
        <v>99</v>
      </c>
      <c r="H30" s="7" t="s">
        <v>487</v>
      </c>
      <c r="I30" s="27" t="s">
        <v>105</v>
      </c>
      <c r="J30" s="27" t="s">
        <v>488</v>
      </c>
      <c r="K30" s="27" t="s">
        <v>489</v>
      </c>
      <c r="L30" s="27" t="s">
        <v>380</v>
      </c>
      <c r="M30" s="27" t="s">
        <v>490</v>
      </c>
      <c r="N30" s="27" t="s">
        <v>491</v>
      </c>
      <c r="O30" s="27"/>
    </row>
    <row r="31" customFormat="false" ht="35.05" hidden="false" customHeight="false" outlineLevel="0" collapsed="false">
      <c r="A31" s="7" t="n">
        <v>24</v>
      </c>
      <c r="B31" s="7" t="s">
        <v>483</v>
      </c>
      <c r="C31" s="7" t="s">
        <v>484</v>
      </c>
      <c r="D31" s="7" t="s">
        <v>492</v>
      </c>
      <c r="E31" s="7" t="s">
        <v>493</v>
      </c>
      <c r="F31" s="7" t="s">
        <v>494</v>
      </c>
      <c r="G31" s="7" t="s">
        <v>99</v>
      </c>
      <c r="H31" s="7" t="s">
        <v>487</v>
      </c>
      <c r="I31" s="27" t="s">
        <v>495</v>
      </c>
      <c r="J31" s="27" t="s">
        <v>488</v>
      </c>
      <c r="K31" s="27" t="s">
        <v>496</v>
      </c>
      <c r="L31" s="27" t="s">
        <v>380</v>
      </c>
      <c r="M31" s="27" t="s">
        <v>497</v>
      </c>
      <c r="N31" s="27" t="s">
        <v>498</v>
      </c>
      <c r="O31" s="27" t="s">
        <v>499</v>
      </c>
    </row>
    <row r="32" customFormat="false" ht="35.05" hidden="false" customHeight="false" outlineLevel="0" collapsed="false">
      <c r="A32" s="7" t="n">
        <v>24</v>
      </c>
      <c r="B32" s="7" t="s">
        <v>483</v>
      </c>
      <c r="C32" s="7" t="s">
        <v>484</v>
      </c>
      <c r="D32" s="7" t="s">
        <v>500</v>
      </c>
      <c r="E32" s="7" t="s">
        <v>501</v>
      </c>
      <c r="F32" s="7" t="s">
        <v>502</v>
      </c>
      <c r="G32" s="7" t="s">
        <v>99</v>
      </c>
      <c r="H32" s="7" t="s">
        <v>487</v>
      </c>
      <c r="I32" s="27" t="s">
        <v>503</v>
      </c>
      <c r="J32" s="27" t="s">
        <v>488</v>
      </c>
      <c r="K32" s="27" t="s">
        <v>504</v>
      </c>
      <c r="L32" s="27" t="s">
        <v>380</v>
      </c>
      <c r="M32" s="27" t="s">
        <v>505</v>
      </c>
      <c r="N32" s="27" t="s">
        <v>506</v>
      </c>
      <c r="O32" s="27" t="s">
        <v>507</v>
      </c>
    </row>
    <row r="33" customFormat="false" ht="23.85" hidden="false" customHeight="false" outlineLevel="0" collapsed="false">
      <c r="A33" s="7" t="n">
        <v>25</v>
      </c>
      <c r="B33" s="7" t="s">
        <v>508</v>
      </c>
      <c r="C33" s="7" t="s">
        <v>484</v>
      </c>
      <c r="D33" s="7" t="s">
        <v>509</v>
      </c>
      <c r="E33" s="7" t="s">
        <v>510</v>
      </c>
      <c r="F33" s="7" t="s">
        <v>511</v>
      </c>
      <c r="G33" s="7" t="s">
        <v>99</v>
      </c>
      <c r="H33" s="7" t="s">
        <v>487</v>
      </c>
      <c r="I33" s="27" t="s">
        <v>105</v>
      </c>
      <c r="J33" s="27" t="s">
        <v>488</v>
      </c>
      <c r="K33" s="27" t="s">
        <v>512</v>
      </c>
      <c r="L33" s="27" t="s">
        <v>380</v>
      </c>
      <c r="M33" s="27" t="s">
        <v>513</v>
      </c>
      <c r="N33" s="27" t="s">
        <v>514</v>
      </c>
      <c r="O33" s="27" t="s">
        <v>515</v>
      </c>
    </row>
    <row r="34" customFormat="false" ht="35.05" hidden="false" customHeight="false" outlineLevel="0" collapsed="false">
      <c r="A34" s="7" t="n">
        <v>26</v>
      </c>
      <c r="B34" s="7" t="s">
        <v>516</v>
      </c>
      <c r="C34" s="7" t="s">
        <v>484</v>
      </c>
      <c r="D34" s="7" t="s">
        <v>509</v>
      </c>
      <c r="E34" s="7" t="s">
        <v>131</v>
      </c>
      <c r="F34" s="7" t="s">
        <v>517</v>
      </c>
      <c r="G34" s="7" t="s">
        <v>518</v>
      </c>
      <c r="H34" s="7" t="s">
        <v>487</v>
      </c>
      <c r="I34" s="27" t="s">
        <v>105</v>
      </c>
      <c r="J34" s="27" t="s">
        <v>488</v>
      </c>
      <c r="K34" s="27" t="s">
        <v>519</v>
      </c>
      <c r="L34" s="27" t="s">
        <v>380</v>
      </c>
      <c r="M34" s="27" t="s">
        <v>380</v>
      </c>
      <c r="N34" s="27" t="s">
        <v>520</v>
      </c>
      <c r="O34" s="27"/>
    </row>
    <row r="35" customFormat="false" ht="35.05" hidden="false" customHeight="false" outlineLevel="0" collapsed="false">
      <c r="A35" s="7" t="n">
        <v>27</v>
      </c>
      <c r="B35" s="7" t="s">
        <v>521</v>
      </c>
      <c r="C35" s="7" t="s">
        <v>484</v>
      </c>
      <c r="D35" s="7" t="s">
        <v>509</v>
      </c>
      <c r="E35" s="7" t="s">
        <v>131</v>
      </c>
      <c r="F35" s="7" t="s">
        <v>502</v>
      </c>
      <c r="G35" s="7" t="s">
        <v>149</v>
      </c>
      <c r="H35" s="7" t="s">
        <v>487</v>
      </c>
      <c r="I35" s="27" t="s">
        <v>503</v>
      </c>
      <c r="J35" s="27" t="s">
        <v>488</v>
      </c>
      <c r="K35" s="27" t="s">
        <v>504</v>
      </c>
      <c r="L35" s="27" t="s">
        <v>380</v>
      </c>
      <c r="M35" s="27" t="s">
        <v>380</v>
      </c>
      <c r="N35" s="27" t="s">
        <v>506</v>
      </c>
      <c r="O35" s="27" t="s">
        <v>522</v>
      </c>
    </row>
    <row r="36" customFormat="false" ht="35.05" hidden="false" customHeight="false" outlineLevel="0" collapsed="false">
      <c r="A36" s="7" t="n">
        <v>28</v>
      </c>
      <c r="B36" s="7" t="s">
        <v>523</v>
      </c>
      <c r="C36" s="7" t="s">
        <v>484</v>
      </c>
      <c r="D36" s="7" t="s">
        <v>524</v>
      </c>
      <c r="E36" s="7" t="s">
        <v>131</v>
      </c>
      <c r="F36" s="7" t="s">
        <v>502</v>
      </c>
      <c r="G36" s="7" t="s">
        <v>518</v>
      </c>
      <c r="H36" s="7" t="s">
        <v>487</v>
      </c>
      <c r="I36" s="27" t="s">
        <v>503</v>
      </c>
      <c r="J36" s="27" t="s">
        <v>488</v>
      </c>
      <c r="K36" s="27" t="s">
        <v>504</v>
      </c>
      <c r="L36" s="27" t="s">
        <v>380</v>
      </c>
      <c r="M36" s="27" t="s">
        <v>380</v>
      </c>
      <c r="N36" s="27" t="s">
        <v>506</v>
      </c>
      <c r="O36" s="27"/>
    </row>
    <row r="37" customFormat="false" ht="23.85" hidden="false" customHeight="false" outlineLevel="0" collapsed="false">
      <c r="A37" s="7" t="n">
        <v>28</v>
      </c>
      <c r="B37" s="7" t="s">
        <v>523</v>
      </c>
      <c r="C37" s="7" t="s">
        <v>484</v>
      </c>
      <c r="D37" s="7" t="s">
        <v>525</v>
      </c>
      <c r="E37" s="7" t="s">
        <v>131</v>
      </c>
      <c r="F37" s="7" t="s">
        <v>526</v>
      </c>
      <c r="G37" s="7" t="s">
        <v>99</v>
      </c>
      <c r="H37" s="7" t="s">
        <v>487</v>
      </c>
      <c r="I37" s="27" t="s">
        <v>105</v>
      </c>
      <c r="J37" s="27" t="s">
        <v>488</v>
      </c>
      <c r="K37" s="27" t="s">
        <v>527</v>
      </c>
      <c r="L37" s="27" t="s">
        <v>380</v>
      </c>
      <c r="M37" s="27" t="s">
        <v>380</v>
      </c>
      <c r="N37" s="27" t="s">
        <v>528</v>
      </c>
      <c r="O37" s="27"/>
    </row>
    <row r="38" customFormat="false" ht="23.85" hidden="false" customHeight="false" outlineLevel="0" collapsed="false">
      <c r="A38" s="7" t="n">
        <v>29</v>
      </c>
      <c r="B38" s="7" t="s">
        <v>529</v>
      </c>
      <c r="C38" s="7" t="s">
        <v>484</v>
      </c>
      <c r="D38" s="7" t="s">
        <v>509</v>
      </c>
      <c r="E38" s="7" t="s">
        <v>131</v>
      </c>
      <c r="F38" s="7" t="s">
        <v>530</v>
      </c>
      <c r="G38" s="7" t="s">
        <v>99</v>
      </c>
      <c r="H38" s="7" t="s">
        <v>487</v>
      </c>
      <c r="I38" s="27" t="s">
        <v>105</v>
      </c>
      <c r="J38" s="27" t="s">
        <v>488</v>
      </c>
      <c r="K38" s="27" t="s">
        <v>531</v>
      </c>
      <c r="L38" s="27" t="s">
        <v>380</v>
      </c>
      <c r="M38" s="27" t="s">
        <v>380</v>
      </c>
      <c r="N38" s="27" t="s">
        <v>532</v>
      </c>
      <c r="O38" s="27"/>
    </row>
    <row r="39" customFormat="false" ht="35.05" hidden="false" customHeight="false" outlineLevel="0" collapsed="false">
      <c r="A39" s="7" t="n">
        <v>30</v>
      </c>
      <c r="B39" s="7" t="s">
        <v>533</v>
      </c>
      <c r="C39" s="7" t="s">
        <v>484</v>
      </c>
      <c r="D39" s="7" t="s">
        <v>28</v>
      </c>
      <c r="E39" s="7" t="s">
        <v>534</v>
      </c>
      <c r="F39" s="7" t="s">
        <v>502</v>
      </c>
      <c r="G39" s="7" t="s">
        <v>518</v>
      </c>
      <c r="H39" s="7" t="s">
        <v>487</v>
      </c>
      <c r="I39" s="27" t="s">
        <v>503</v>
      </c>
      <c r="J39" s="27" t="s">
        <v>488</v>
      </c>
      <c r="K39" s="27" t="s">
        <v>504</v>
      </c>
      <c r="L39" s="27" t="s">
        <v>380</v>
      </c>
      <c r="M39" s="27" t="s">
        <v>380</v>
      </c>
      <c r="N39" s="27" t="s">
        <v>506</v>
      </c>
      <c r="O39" s="27"/>
    </row>
    <row r="40" customFormat="false" ht="23.85" hidden="false" customHeight="false" outlineLevel="0" collapsed="false">
      <c r="A40" s="7" t="n">
        <v>30</v>
      </c>
      <c r="B40" s="7" t="s">
        <v>533</v>
      </c>
      <c r="C40" s="7" t="s">
        <v>484</v>
      </c>
      <c r="D40" s="7" t="s">
        <v>535</v>
      </c>
      <c r="E40" s="7" t="s">
        <v>400</v>
      </c>
      <c r="F40" s="7" t="s">
        <v>536</v>
      </c>
      <c r="G40" s="7" t="s">
        <v>518</v>
      </c>
      <c r="H40" s="7" t="s">
        <v>487</v>
      </c>
      <c r="I40" s="27" t="s">
        <v>105</v>
      </c>
      <c r="J40" s="27" t="s">
        <v>488</v>
      </c>
      <c r="K40" s="27" t="s">
        <v>537</v>
      </c>
      <c r="L40" s="27" t="s">
        <v>380</v>
      </c>
      <c r="M40" s="27" t="s">
        <v>380</v>
      </c>
      <c r="N40" s="27" t="s">
        <v>538</v>
      </c>
      <c r="O40" s="27"/>
    </row>
    <row r="41" customFormat="false" ht="35.05" hidden="false" customHeight="false" outlineLevel="0" collapsed="false">
      <c r="A41" s="7" t="n">
        <v>31</v>
      </c>
      <c r="B41" s="7" t="s">
        <v>539</v>
      </c>
      <c r="C41" s="7" t="s">
        <v>484</v>
      </c>
      <c r="D41" s="7" t="s">
        <v>28</v>
      </c>
      <c r="E41" s="7" t="s">
        <v>400</v>
      </c>
      <c r="F41" s="7" t="s">
        <v>502</v>
      </c>
      <c r="G41" s="7" t="s">
        <v>518</v>
      </c>
      <c r="H41" s="7" t="s">
        <v>487</v>
      </c>
      <c r="I41" s="27" t="s">
        <v>503</v>
      </c>
      <c r="J41" s="27" t="s">
        <v>488</v>
      </c>
      <c r="K41" s="27" t="s">
        <v>504</v>
      </c>
      <c r="L41" s="27" t="s">
        <v>380</v>
      </c>
      <c r="M41" s="27" t="s">
        <v>380</v>
      </c>
      <c r="N41" s="27" t="s">
        <v>506</v>
      </c>
      <c r="O41" s="27"/>
    </row>
    <row r="42" customFormat="false" ht="23.85" hidden="false" customHeight="false" outlineLevel="0" collapsed="false">
      <c r="A42" s="7" t="n">
        <v>31</v>
      </c>
      <c r="B42" s="7" t="s">
        <v>539</v>
      </c>
      <c r="C42" s="7" t="s">
        <v>484</v>
      </c>
      <c r="D42" s="7" t="s">
        <v>535</v>
      </c>
      <c r="E42" s="7" t="s">
        <v>400</v>
      </c>
      <c r="F42" s="7" t="s">
        <v>536</v>
      </c>
      <c r="G42" s="7" t="s">
        <v>518</v>
      </c>
      <c r="H42" s="7" t="s">
        <v>487</v>
      </c>
      <c r="I42" s="27" t="s">
        <v>211</v>
      </c>
      <c r="J42" s="27" t="s">
        <v>488</v>
      </c>
      <c r="K42" s="27" t="s">
        <v>537</v>
      </c>
      <c r="L42" s="27" t="s">
        <v>380</v>
      </c>
      <c r="M42" s="27" t="s">
        <v>380</v>
      </c>
      <c r="N42" s="27" t="s">
        <v>540</v>
      </c>
      <c r="O42" s="27" t="s">
        <v>541</v>
      </c>
    </row>
    <row r="43" customFormat="false" ht="35.05" hidden="false" customHeight="false" outlineLevel="0" collapsed="false">
      <c r="A43" s="7" t="n">
        <v>32</v>
      </c>
      <c r="B43" s="7" t="s">
        <v>542</v>
      </c>
      <c r="C43" s="7" t="s">
        <v>484</v>
      </c>
      <c r="D43" s="7" t="s">
        <v>543</v>
      </c>
      <c r="E43" s="7" t="s">
        <v>400</v>
      </c>
      <c r="F43" s="7" t="s">
        <v>502</v>
      </c>
      <c r="G43" s="7" t="s">
        <v>518</v>
      </c>
      <c r="H43" s="7" t="s">
        <v>487</v>
      </c>
      <c r="I43" s="27" t="s">
        <v>503</v>
      </c>
      <c r="J43" s="27" t="s">
        <v>488</v>
      </c>
      <c r="K43" s="27" t="s">
        <v>504</v>
      </c>
      <c r="L43" s="27" t="s">
        <v>380</v>
      </c>
      <c r="M43" s="27" t="s">
        <v>380</v>
      </c>
      <c r="N43" s="27" t="s">
        <v>506</v>
      </c>
      <c r="O43" s="27"/>
    </row>
    <row r="44" customFormat="false" ht="23.85" hidden="false" customHeight="false" outlineLevel="0" collapsed="false">
      <c r="A44" s="7" t="n">
        <v>32</v>
      </c>
      <c r="B44" s="7" t="s">
        <v>542</v>
      </c>
      <c r="C44" s="7" t="s">
        <v>484</v>
      </c>
      <c r="D44" s="7" t="s">
        <v>525</v>
      </c>
      <c r="E44" s="7" t="s">
        <v>400</v>
      </c>
      <c r="F44" s="7" t="s">
        <v>526</v>
      </c>
      <c r="G44" s="7" t="s">
        <v>99</v>
      </c>
      <c r="H44" s="7" t="s">
        <v>487</v>
      </c>
      <c r="I44" s="27" t="s">
        <v>211</v>
      </c>
      <c r="J44" s="27" t="s">
        <v>488</v>
      </c>
      <c r="K44" s="27" t="s">
        <v>527</v>
      </c>
      <c r="L44" s="27" t="s">
        <v>380</v>
      </c>
      <c r="M44" s="27" t="s">
        <v>380</v>
      </c>
      <c r="N44" s="27" t="s">
        <v>544</v>
      </c>
      <c r="O44" s="27"/>
    </row>
    <row r="45" customFormat="false" ht="35.05" hidden="false" customHeight="false" outlineLevel="0" collapsed="false">
      <c r="A45" s="7" t="n">
        <v>33</v>
      </c>
      <c r="B45" s="7" t="s">
        <v>545</v>
      </c>
      <c r="C45" s="7" t="s">
        <v>484</v>
      </c>
      <c r="D45" s="7" t="s">
        <v>509</v>
      </c>
      <c r="E45" s="7" t="s">
        <v>400</v>
      </c>
      <c r="F45" s="7" t="s">
        <v>502</v>
      </c>
      <c r="G45" s="7" t="s">
        <v>149</v>
      </c>
      <c r="H45" s="7" t="s">
        <v>487</v>
      </c>
      <c r="I45" s="27" t="s">
        <v>503</v>
      </c>
      <c r="J45" s="27" t="s">
        <v>488</v>
      </c>
      <c r="K45" s="27" t="s">
        <v>504</v>
      </c>
      <c r="L45" s="27" t="s">
        <v>380</v>
      </c>
      <c r="M45" s="27" t="s">
        <v>380</v>
      </c>
      <c r="N45" s="27" t="s">
        <v>506</v>
      </c>
      <c r="O45" s="27"/>
    </row>
    <row r="46" customFormat="false" ht="35.05" hidden="false" customHeight="false" outlineLevel="0" collapsed="false">
      <c r="A46" s="7" t="n">
        <v>34</v>
      </c>
      <c r="B46" s="7" t="s">
        <v>546</v>
      </c>
      <c r="C46" s="7" t="s">
        <v>484</v>
      </c>
      <c r="D46" s="7" t="s">
        <v>547</v>
      </c>
      <c r="E46" s="7" t="s">
        <v>400</v>
      </c>
      <c r="F46" s="7" t="s">
        <v>502</v>
      </c>
      <c r="G46" s="7" t="s">
        <v>518</v>
      </c>
      <c r="H46" s="7" t="s">
        <v>487</v>
      </c>
      <c r="I46" s="27" t="s">
        <v>503</v>
      </c>
      <c r="J46" s="27" t="s">
        <v>488</v>
      </c>
      <c r="K46" s="27" t="s">
        <v>504</v>
      </c>
      <c r="L46" s="27" t="s">
        <v>380</v>
      </c>
      <c r="M46" s="27" t="s">
        <v>380</v>
      </c>
      <c r="N46" s="27" t="s">
        <v>506</v>
      </c>
      <c r="O46" s="27"/>
    </row>
    <row r="47" customFormat="false" ht="23.85" hidden="false" customHeight="false" outlineLevel="0" collapsed="false">
      <c r="A47" s="7" t="n">
        <v>34</v>
      </c>
      <c r="B47" s="7" t="s">
        <v>546</v>
      </c>
      <c r="C47" s="7" t="s">
        <v>484</v>
      </c>
      <c r="D47" s="7" t="s">
        <v>525</v>
      </c>
      <c r="E47" s="7" t="s">
        <v>400</v>
      </c>
      <c r="F47" s="7" t="s">
        <v>526</v>
      </c>
      <c r="G47" s="7" t="s">
        <v>99</v>
      </c>
      <c r="H47" s="7" t="s">
        <v>487</v>
      </c>
      <c r="I47" s="27" t="s">
        <v>211</v>
      </c>
      <c r="J47" s="27" t="s">
        <v>488</v>
      </c>
      <c r="K47" s="27" t="s">
        <v>527</v>
      </c>
      <c r="L47" s="27" t="s">
        <v>380</v>
      </c>
      <c r="M47" s="27" t="s">
        <v>380</v>
      </c>
      <c r="N47" s="27" t="s">
        <v>544</v>
      </c>
      <c r="O47" s="27"/>
    </row>
    <row r="48" customFormat="false" ht="35.05" hidden="false" customHeight="false" outlineLevel="0" collapsed="false">
      <c r="A48" s="7" t="n">
        <v>35</v>
      </c>
      <c r="B48" s="7" t="s">
        <v>548</v>
      </c>
      <c r="C48" s="7" t="s">
        <v>484</v>
      </c>
      <c r="D48" s="7" t="s">
        <v>28</v>
      </c>
      <c r="E48" s="7" t="s">
        <v>400</v>
      </c>
      <c r="F48" s="7" t="s">
        <v>502</v>
      </c>
      <c r="G48" s="7" t="s">
        <v>518</v>
      </c>
      <c r="H48" s="7" t="s">
        <v>487</v>
      </c>
      <c r="I48" s="27" t="s">
        <v>503</v>
      </c>
      <c r="J48" s="27" t="s">
        <v>488</v>
      </c>
      <c r="K48" s="27" t="s">
        <v>504</v>
      </c>
      <c r="L48" s="27" t="s">
        <v>380</v>
      </c>
      <c r="M48" s="27" t="s">
        <v>380</v>
      </c>
      <c r="N48" s="27" t="s">
        <v>506</v>
      </c>
      <c r="O48" s="27" t="s">
        <v>549</v>
      </c>
    </row>
    <row r="49" customFormat="false" ht="23.85" hidden="false" customHeight="false" outlineLevel="0" collapsed="false">
      <c r="A49" s="7" t="n">
        <v>35</v>
      </c>
      <c r="B49" s="7" t="s">
        <v>548</v>
      </c>
      <c r="C49" s="7" t="s">
        <v>484</v>
      </c>
      <c r="D49" s="7" t="s">
        <v>550</v>
      </c>
      <c r="E49" s="7" t="s">
        <v>400</v>
      </c>
      <c r="F49" s="7" t="s">
        <v>551</v>
      </c>
      <c r="G49" s="7" t="s">
        <v>99</v>
      </c>
      <c r="H49" s="7" t="s">
        <v>487</v>
      </c>
      <c r="I49" s="27" t="s">
        <v>105</v>
      </c>
      <c r="J49" s="27" t="s">
        <v>488</v>
      </c>
      <c r="K49" s="27" t="s">
        <v>552</v>
      </c>
      <c r="L49" s="27" t="s">
        <v>380</v>
      </c>
      <c r="M49" s="27" t="s">
        <v>380</v>
      </c>
      <c r="N49" s="27" t="s">
        <v>553</v>
      </c>
      <c r="O49" s="27" t="s">
        <v>554</v>
      </c>
    </row>
    <row r="50" customFormat="false" ht="35.05" hidden="false" customHeight="false" outlineLevel="0" collapsed="false">
      <c r="A50" s="7" t="n">
        <v>36</v>
      </c>
      <c r="B50" s="7" t="s">
        <v>555</v>
      </c>
      <c r="C50" s="7" t="s">
        <v>484</v>
      </c>
      <c r="D50" s="7" t="s">
        <v>556</v>
      </c>
      <c r="E50" s="7" t="s">
        <v>400</v>
      </c>
      <c r="F50" s="7" t="s">
        <v>557</v>
      </c>
      <c r="G50" s="7" t="s">
        <v>99</v>
      </c>
      <c r="H50" s="7" t="s">
        <v>487</v>
      </c>
      <c r="I50" s="27" t="s">
        <v>211</v>
      </c>
      <c r="J50" s="27" t="s">
        <v>488</v>
      </c>
      <c r="K50" s="27" t="s">
        <v>558</v>
      </c>
      <c r="L50" s="27" t="s">
        <v>380</v>
      </c>
      <c r="M50" s="27" t="s">
        <v>380</v>
      </c>
      <c r="N50" s="27" t="s">
        <v>559</v>
      </c>
      <c r="O50" s="27" t="s">
        <v>560</v>
      </c>
    </row>
    <row r="51" customFormat="false" ht="35.05" hidden="false" customHeight="false" outlineLevel="0" collapsed="false">
      <c r="A51" s="7" t="n">
        <v>36</v>
      </c>
      <c r="B51" s="7" t="s">
        <v>555</v>
      </c>
      <c r="C51" s="7" t="s">
        <v>484</v>
      </c>
      <c r="D51" s="7" t="s">
        <v>561</v>
      </c>
      <c r="E51" s="7" t="s">
        <v>562</v>
      </c>
      <c r="F51" s="7" t="s">
        <v>502</v>
      </c>
      <c r="G51" s="7" t="s">
        <v>99</v>
      </c>
      <c r="H51" s="7" t="s">
        <v>487</v>
      </c>
      <c r="I51" s="27" t="s">
        <v>503</v>
      </c>
      <c r="J51" s="27" t="s">
        <v>488</v>
      </c>
      <c r="K51" s="27" t="s">
        <v>504</v>
      </c>
      <c r="L51" s="27" t="s">
        <v>380</v>
      </c>
      <c r="M51" s="27" t="s">
        <v>380</v>
      </c>
      <c r="N51" s="27" t="s">
        <v>506</v>
      </c>
      <c r="O51" s="27" t="s">
        <v>563</v>
      </c>
    </row>
    <row r="52" customFormat="false" ht="35.05" hidden="false" customHeight="false" outlineLevel="0" collapsed="false">
      <c r="A52" s="7" t="n">
        <v>37</v>
      </c>
      <c r="B52" s="7" t="s">
        <v>564</v>
      </c>
      <c r="C52" s="7" t="s">
        <v>565</v>
      </c>
      <c r="D52" s="7" t="s">
        <v>566</v>
      </c>
      <c r="E52" s="7" t="s">
        <v>562</v>
      </c>
      <c r="F52" s="7" t="s">
        <v>567</v>
      </c>
      <c r="G52" s="7" t="s">
        <v>99</v>
      </c>
      <c r="H52" s="7" t="s">
        <v>487</v>
      </c>
      <c r="I52" s="27" t="s">
        <v>211</v>
      </c>
      <c r="J52" s="27" t="s">
        <v>488</v>
      </c>
      <c r="K52" s="27" t="s">
        <v>568</v>
      </c>
      <c r="L52" s="27" t="s">
        <v>569</v>
      </c>
      <c r="M52" s="27" t="s">
        <v>570</v>
      </c>
      <c r="N52" s="27" t="s">
        <v>571</v>
      </c>
      <c r="O52" s="27"/>
    </row>
    <row r="53" customFormat="false" ht="35.05" hidden="false" customHeight="false" outlineLevel="0" collapsed="false">
      <c r="A53" s="7" t="n">
        <v>37</v>
      </c>
      <c r="B53" s="7" t="s">
        <v>564</v>
      </c>
      <c r="C53" s="7" t="s">
        <v>565</v>
      </c>
      <c r="D53" s="7" t="s">
        <v>572</v>
      </c>
      <c r="E53" s="7" t="s">
        <v>562</v>
      </c>
      <c r="F53" s="7" t="s">
        <v>573</v>
      </c>
      <c r="G53" s="7" t="s">
        <v>99</v>
      </c>
      <c r="H53" s="7" t="s">
        <v>487</v>
      </c>
      <c r="I53" s="27" t="s">
        <v>211</v>
      </c>
      <c r="J53" s="27" t="s">
        <v>488</v>
      </c>
      <c r="K53" s="27" t="s">
        <v>325</v>
      </c>
      <c r="L53" s="27" t="s">
        <v>569</v>
      </c>
      <c r="M53" s="27" t="s">
        <v>570</v>
      </c>
      <c r="N53" s="27" t="s">
        <v>574</v>
      </c>
      <c r="O53" s="27"/>
    </row>
    <row r="54" customFormat="false" ht="35.05" hidden="false" customHeight="false" outlineLevel="0" collapsed="false">
      <c r="A54" s="7" t="n">
        <v>37</v>
      </c>
      <c r="B54" s="7" t="s">
        <v>564</v>
      </c>
      <c r="C54" s="7" t="s">
        <v>565</v>
      </c>
      <c r="D54" s="7" t="s">
        <v>339</v>
      </c>
      <c r="E54" s="7" t="s">
        <v>562</v>
      </c>
      <c r="F54" s="7" t="s">
        <v>575</v>
      </c>
      <c r="G54" s="7" t="s">
        <v>99</v>
      </c>
      <c r="H54" s="7" t="s">
        <v>487</v>
      </c>
      <c r="I54" s="27" t="s">
        <v>273</v>
      </c>
      <c r="J54" s="27" t="s">
        <v>488</v>
      </c>
      <c r="K54" s="27" t="s">
        <v>576</v>
      </c>
      <c r="L54" s="27" t="s">
        <v>380</v>
      </c>
      <c r="M54" s="27" t="s">
        <v>577</v>
      </c>
      <c r="N54" s="27" t="s">
        <v>578</v>
      </c>
      <c r="O54" s="27" t="s">
        <v>579</v>
      </c>
    </row>
    <row r="55" customFormat="false" ht="35.05" hidden="false" customHeight="false" outlineLevel="0" collapsed="false">
      <c r="A55" s="7" t="n">
        <v>38</v>
      </c>
      <c r="B55" s="7" t="s">
        <v>580</v>
      </c>
      <c r="C55" s="7" t="s">
        <v>565</v>
      </c>
      <c r="D55" s="7" t="s">
        <v>581</v>
      </c>
      <c r="E55" s="7" t="s">
        <v>562</v>
      </c>
      <c r="F55" s="7" t="s">
        <v>567</v>
      </c>
      <c r="G55" s="7" t="s">
        <v>99</v>
      </c>
      <c r="H55" s="7" t="s">
        <v>487</v>
      </c>
      <c r="I55" s="27" t="s">
        <v>211</v>
      </c>
      <c r="J55" s="27" t="s">
        <v>488</v>
      </c>
      <c r="K55" s="27" t="s">
        <v>568</v>
      </c>
      <c r="L55" s="27" t="s">
        <v>569</v>
      </c>
      <c r="M55" s="27" t="s">
        <v>582</v>
      </c>
      <c r="N55" s="27" t="s">
        <v>571</v>
      </c>
      <c r="O55" s="27" t="s">
        <v>583</v>
      </c>
    </row>
    <row r="56" customFormat="false" ht="35.05" hidden="false" customHeight="false" outlineLevel="0" collapsed="false">
      <c r="A56" s="7" t="n">
        <v>38</v>
      </c>
      <c r="B56" s="7" t="s">
        <v>580</v>
      </c>
      <c r="C56" s="7" t="s">
        <v>565</v>
      </c>
      <c r="D56" s="7" t="s">
        <v>584</v>
      </c>
      <c r="E56" s="7" t="s">
        <v>562</v>
      </c>
      <c r="F56" s="7" t="s">
        <v>573</v>
      </c>
      <c r="G56" s="7" t="s">
        <v>99</v>
      </c>
      <c r="H56" s="7" t="s">
        <v>487</v>
      </c>
      <c r="I56" s="27" t="s">
        <v>211</v>
      </c>
      <c r="J56" s="27" t="s">
        <v>488</v>
      </c>
      <c r="K56" s="27" t="s">
        <v>325</v>
      </c>
      <c r="L56" s="27" t="s">
        <v>569</v>
      </c>
      <c r="M56" s="27" t="s">
        <v>582</v>
      </c>
      <c r="N56" s="27" t="s">
        <v>574</v>
      </c>
      <c r="O56" s="27"/>
    </row>
    <row r="57" customFormat="false" ht="35.05" hidden="false" customHeight="false" outlineLevel="0" collapsed="false">
      <c r="A57" s="7" t="n">
        <v>39</v>
      </c>
      <c r="B57" s="7" t="s">
        <v>585</v>
      </c>
      <c r="C57" s="7" t="s">
        <v>565</v>
      </c>
      <c r="D57" s="7" t="s">
        <v>586</v>
      </c>
      <c r="E57" s="7" t="s">
        <v>562</v>
      </c>
      <c r="F57" s="7" t="s">
        <v>502</v>
      </c>
      <c r="G57" s="7" t="s">
        <v>149</v>
      </c>
      <c r="H57" s="7" t="s">
        <v>487</v>
      </c>
      <c r="I57" s="27" t="s">
        <v>273</v>
      </c>
      <c r="J57" s="27" t="s">
        <v>488</v>
      </c>
      <c r="K57" s="27" t="s">
        <v>576</v>
      </c>
      <c r="L57" s="27" t="s">
        <v>380</v>
      </c>
      <c r="M57" s="27" t="s">
        <v>380</v>
      </c>
      <c r="N57" s="27" t="s">
        <v>578</v>
      </c>
      <c r="O57" s="27"/>
    </row>
    <row r="58" customFormat="false" ht="35.05" hidden="false" customHeight="false" outlineLevel="0" collapsed="false">
      <c r="A58" s="7" t="n">
        <v>39</v>
      </c>
      <c r="B58" s="7" t="s">
        <v>585</v>
      </c>
      <c r="C58" s="7" t="s">
        <v>565</v>
      </c>
      <c r="D58" s="7" t="s">
        <v>587</v>
      </c>
      <c r="E58" s="7" t="s">
        <v>588</v>
      </c>
      <c r="F58" s="7" t="s">
        <v>589</v>
      </c>
      <c r="G58" s="7" t="s">
        <v>99</v>
      </c>
      <c r="H58" s="7" t="s">
        <v>487</v>
      </c>
      <c r="I58" s="27" t="s">
        <v>105</v>
      </c>
      <c r="J58" s="27" t="s">
        <v>488</v>
      </c>
      <c r="K58" s="27" t="s">
        <v>590</v>
      </c>
      <c r="L58" s="27" t="s">
        <v>380</v>
      </c>
      <c r="M58" s="27" t="s">
        <v>380</v>
      </c>
      <c r="N58" s="27" t="s">
        <v>591</v>
      </c>
      <c r="O58" s="27"/>
    </row>
    <row r="59" customFormat="false" ht="35.05" hidden="false" customHeight="false" outlineLevel="0" collapsed="false">
      <c r="A59" s="7" t="n">
        <v>39</v>
      </c>
      <c r="B59" s="7" t="s">
        <v>585</v>
      </c>
      <c r="C59" s="7" t="s">
        <v>565</v>
      </c>
      <c r="D59" s="7" t="s">
        <v>592</v>
      </c>
      <c r="E59" s="7" t="s">
        <v>402</v>
      </c>
      <c r="F59" s="7" t="s">
        <v>589</v>
      </c>
      <c r="G59" s="7" t="s">
        <v>99</v>
      </c>
      <c r="H59" s="7" t="s">
        <v>487</v>
      </c>
      <c r="I59" s="27" t="s">
        <v>105</v>
      </c>
      <c r="J59" s="27" t="s">
        <v>488</v>
      </c>
      <c r="K59" s="27" t="s">
        <v>593</v>
      </c>
      <c r="L59" s="27" t="s">
        <v>380</v>
      </c>
      <c r="M59" s="27" t="s">
        <v>380</v>
      </c>
      <c r="N59" s="27" t="s">
        <v>594</v>
      </c>
      <c r="O59" s="27"/>
    </row>
    <row r="60" customFormat="false" ht="35.05" hidden="false" customHeight="false" outlineLevel="0" collapsed="false">
      <c r="A60" s="7" t="n">
        <v>39</v>
      </c>
      <c r="B60" s="7" t="s">
        <v>585</v>
      </c>
      <c r="C60" s="7" t="s">
        <v>565</v>
      </c>
      <c r="D60" s="7" t="s">
        <v>595</v>
      </c>
      <c r="E60" s="7" t="s">
        <v>402</v>
      </c>
      <c r="F60" s="7" t="s">
        <v>502</v>
      </c>
      <c r="G60" s="7" t="s">
        <v>596</v>
      </c>
      <c r="H60" s="7" t="s">
        <v>487</v>
      </c>
      <c r="I60" s="27" t="s">
        <v>273</v>
      </c>
      <c r="J60" s="27" t="s">
        <v>488</v>
      </c>
      <c r="K60" s="27" t="s">
        <v>576</v>
      </c>
      <c r="L60" s="27" t="s">
        <v>380</v>
      </c>
      <c r="M60" s="27" t="s">
        <v>380</v>
      </c>
      <c r="N60" s="27" t="s">
        <v>578</v>
      </c>
      <c r="O60" s="27" t="s">
        <v>597</v>
      </c>
    </row>
    <row r="61" customFormat="false" ht="35.05" hidden="false" customHeight="false" outlineLevel="0" collapsed="false">
      <c r="A61" s="7" t="n">
        <v>40</v>
      </c>
      <c r="B61" s="7" t="s">
        <v>598</v>
      </c>
      <c r="C61" s="7" t="s">
        <v>565</v>
      </c>
      <c r="D61" s="7" t="s">
        <v>599</v>
      </c>
      <c r="E61" s="7" t="s">
        <v>402</v>
      </c>
      <c r="F61" s="7" t="s">
        <v>567</v>
      </c>
      <c r="G61" s="7" t="s">
        <v>99</v>
      </c>
      <c r="H61" s="7" t="s">
        <v>487</v>
      </c>
      <c r="I61" s="27" t="s">
        <v>211</v>
      </c>
      <c r="J61" s="27" t="s">
        <v>488</v>
      </c>
      <c r="K61" s="27" t="s">
        <v>568</v>
      </c>
      <c r="L61" s="27" t="s">
        <v>569</v>
      </c>
      <c r="M61" s="27" t="s">
        <v>380</v>
      </c>
      <c r="N61" s="27" t="s">
        <v>571</v>
      </c>
      <c r="O61" s="27"/>
    </row>
    <row r="62" customFormat="false" ht="35.05" hidden="false" customHeight="false" outlineLevel="0" collapsed="false">
      <c r="A62" s="7" t="n">
        <v>40</v>
      </c>
      <c r="B62" s="7" t="s">
        <v>598</v>
      </c>
      <c r="C62" s="7" t="s">
        <v>565</v>
      </c>
      <c r="D62" s="7" t="s">
        <v>600</v>
      </c>
      <c r="E62" s="7" t="s">
        <v>402</v>
      </c>
      <c r="F62" s="7" t="s">
        <v>573</v>
      </c>
      <c r="G62" s="7" t="s">
        <v>99</v>
      </c>
      <c r="H62" s="7" t="s">
        <v>487</v>
      </c>
      <c r="I62" s="27" t="s">
        <v>211</v>
      </c>
      <c r="J62" s="27" t="s">
        <v>488</v>
      </c>
      <c r="K62" s="27" t="s">
        <v>325</v>
      </c>
      <c r="L62" s="27" t="s">
        <v>569</v>
      </c>
      <c r="M62" s="27" t="s">
        <v>380</v>
      </c>
      <c r="N62" s="27" t="s">
        <v>574</v>
      </c>
      <c r="O62" s="27"/>
    </row>
    <row r="63" customFormat="false" ht="35.05" hidden="false" customHeight="false" outlineLevel="0" collapsed="false">
      <c r="A63" s="7" t="n">
        <v>41</v>
      </c>
      <c r="B63" s="7" t="s">
        <v>601</v>
      </c>
      <c r="C63" s="7" t="s">
        <v>565</v>
      </c>
      <c r="D63" s="7" t="s">
        <v>509</v>
      </c>
      <c r="E63" s="7" t="s">
        <v>402</v>
      </c>
      <c r="F63" s="7" t="s">
        <v>536</v>
      </c>
      <c r="G63" s="7" t="s">
        <v>99</v>
      </c>
      <c r="H63" s="7" t="s">
        <v>487</v>
      </c>
      <c r="I63" s="27" t="s">
        <v>105</v>
      </c>
      <c r="J63" s="27" t="s">
        <v>488</v>
      </c>
      <c r="K63" s="27" t="s">
        <v>602</v>
      </c>
      <c r="L63" s="27" t="s">
        <v>380</v>
      </c>
      <c r="M63" s="27" t="s">
        <v>603</v>
      </c>
      <c r="N63" s="27" t="s">
        <v>604</v>
      </c>
      <c r="O63" s="27" t="s">
        <v>605</v>
      </c>
    </row>
    <row r="64" customFormat="false" ht="35.05" hidden="false" customHeight="false" outlineLevel="0" collapsed="false">
      <c r="A64" s="7" t="n">
        <v>42</v>
      </c>
      <c r="B64" s="7" t="s">
        <v>606</v>
      </c>
      <c r="C64" s="7" t="s">
        <v>565</v>
      </c>
      <c r="D64" s="7" t="s">
        <v>607</v>
      </c>
      <c r="E64" s="7" t="s">
        <v>402</v>
      </c>
      <c r="F64" s="7" t="s">
        <v>567</v>
      </c>
      <c r="G64" s="7" t="s">
        <v>99</v>
      </c>
      <c r="H64" s="7" t="s">
        <v>487</v>
      </c>
      <c r="I64" s="27" t="s">
        <v>211</v>
      </c>
      <c r="J64" s="27" t="s">
        <v>488</v>
      </c>
      <c r="K64" s="27" t="s">
        <v>568</v>
      </c>
      <c r="L64" s="27" t="s">
        <v>569</v>
      </c>
      <c r="M64" s="27" t="s">
        <v>608</v>
      </c>
      <c r="N64" s="27" t="s">
        <v>571</v>
      </c>
      <c r="O64" s="27"/>
    </row>
    <row r="65" customFormat="false" ht="35.05" hidden="false" customHeight="false" outlineLevel="0" collapsed="false">
      <c r="A65" s="7" t="n">
        <v>42</v>
      </c>
      <c r="B65" s="7" t="s">
        <v>606</v>
      </c>
      <c r="C65" s="7" t="s">
        <v>565</v>
      </c>
      <c r="D65" s="7" t="s">
        <v>609</v>
      </c>
      <c r="E65" s="7" t="s">
        <v>402</v>
      </c>
      <c r="F65" s="7" t="s">
        <v>573</v>
      </c>
      <c r="G65" s="7" t="s">
        <v>99</v>
      </c>
      <c r="H65" s="7" t="s">
        <v>487</v>
      </c>
      <c r="I65" s="27" t="s">
        <v>211</v>
      </c>
      <c r="J65" s="27" t="s">
        <v>488</v>
      </c>
      <c r="K65" s="27" t="s">
        <v>325</v>
      </c>
      <c r="L65" s="27" t="s">
        <v>569</v>
      </c>
      <c r="M65" s="27" t="s">
        <v>610</v>
      </c>
      <c r="N65" s="27" t="s">
        <v>574</v>
      </c>
      <c r="O65" s="27"/>
    </row>
    <row r="66" customFormat="false" ht="35.05" hidden="false" customHeight="false" outlineLevel="0" collapsed="false">
      <c r="A66" s="7" t="n">
        <v>43</v>
      </c>
      <c r="B66" s="7" t="s">
        <v>611</v>
      </c>
      <c r="C66" s="7" t="s">
        <v>565</v>
      </c>
      <c r="D66" s="7" t="s">
        <v>509</v>
      </c>
      <c r="E66" s="7" t="s">
        <v>612</v>
      </c>
      <c r="F66" s="7" t="s">
        <v>502</v>
      </c>
      <c r="G66" s="7" t="s">
        <v>149</v>
      </c>
      <c r="H66" s="7" t="s">
        <v>487</v>
      </c>
      <c r="I66" s="27" t="s">
        <v>273</v>
      </c>
      <c r="J66" s="27" t="s">
        <v>488</v>
      </c>
      <c r="K66" s="27" t="s">
        <v>576</v>
      </c>
      <c r="L66" s="27" t="s">
        <v>380</v>
      </c>
      <c r="M66" s="27" t="s">
        <v>613</v>
      </c>
      <c r="N66" s="27" t="s">
        <v>578</v>
      </c>
      <c r="O66" s="27" t="s">
        <v>614</v>
      </c>
    </row>
    <row r="67" customFormat="false" ht="35.05" hidden="false" customHeight="false" outlineLevel="0" collapsed="false">
      <c r="A67" s="7" t="n">
        <v>44</v>
      </c>
      <c r="B67" s="7" t="s">
        <v>615</v>
      </c>
      <c r="C67" s="7" t="s">
        <v>565</v>
      </c>
      <c r="D67" s="7" t="s">
        <v>509</v>
      </c>
      <c r="E67" s="7" t="s">
        <v>612</v>
      </c>
      <c r="F67" s="7" t="s">
        <v>616</v>
      </c>
      <c r="G67" s="7" t="s">
        <v>99</v>
      </c>
      <c r="H67" s="7" t="s">
        <v>487</v>
      </c>
      <c r="I67" s="27" t="s">
        <v>262</v>
      </c>
      <c r="J67" s="27" t="s">
        <v>488</v>
      </c>
      <c r="K67" s="27" t="s">
        <v>617</v>
      </c>
      <c r="L67" s="27" t="s">
        <v>380</v>
      </c>
      <c r="M67" s="27" t="s">
        <v>618</v>
      </c>
      <c r="N67" s="27" t="s">
        <v>619</v>
      </c>
      <c r="O67" s="27" t="s">
        <v>620</v>
      </c>
    </row>
    <row r="68" customFormat="false" ht="35.05" hidden="false" customHeight="false" outlineLevel="0" collapsed="false">
      <c r="A68" s="7" t="n">
        <v>45</v>
      </c>
      <c r="B68" s="7" t="s">
        <v>621</v>
      </c>
      <c r="C68" s="7" t="s">
        <v>565</v>
      </c>
      <c r="D68" s="7" t="s">
        <v>622</v>
      </c>
      <c r="E68" s="7" t="s">
        <v>612</v>
      </c>
      <c r="F68" s="7" t="s">
        <v>623</v>
      </c>
      <c r="G68" s="7" t="s">
        <v>99</v>
      </c>
      <c r="H68" s="7" t="s">
        <v>487</v>
      </c>
      <c r="I68" s="27" t="s">
        <v>273</v>
      </c>
      <c r="J68" s="27" t="s">
        <v>488</v>
      </c>
      <c r="K68" s="27" t="s">
        <v>576</v>
      </c>
      <c r="L68" s="27" t="s">
        <v>380</v>
      </c>
      <c r="M68" s="27" t="s">
        <v>380</v>
      </c>
      <c r="N68" s="27" t="s">
        <v>578</v>
      </c>
      <c r="O68" s="27"/>
    </row>
    <row r="69" customFormat="false" ht="35.05" hidden="false" customHeight="false" outlineLevel="0" collapsed="false">
      <c r="A69" s="7" t="n">
        <v>45</v>
      </c>
      <c r="B69" s="7" t="s">
        <v>621</v>
      </c>
      <c r="C69" s="7" t="s">
        <v>565</v>
      </c>
      <c r="D69" s="7" t="s">
        <v>624</v>
      </c>
      <c r="E69" s="7" t="s">
        <v>612</v>
      </c>
      <c r="F69" s="7" t="s">
        <v>625</v>
      </c>
      <c r="G69" s="7" t="s">
        <v>518</v>
      </c>
      <c r="H69" s="7" t="s">
        <v>487</v>
      </c>
      <c r="I69" s="27" t="s">
        <v>273</v>
      </c>
      <c r="J69" s="27" t="s">
        <v>488</v>
      </c>
      <c r="K69" s="27" t="s">
        <v>576</v>
      </c>
      <c r="L69" s="27" t="s">
        <v>380</v>
      </c>
      <c r="M69" s="27" t="s">
        <v>380</v>
      </c>
      <c r="N69" s="27" t="s">
        <v>578</v>
      </c>
      <c r="O69" s="27"/>
    </row>
    <row r="70" customFormat="false" ht="35.05" hidden="false" customHeight="false" outlineLevel="0" collapsed="false">
      <c r="A70" s="7" t="n">
        <v>46</v>
      </c>
      <c r="B70" s="7" t="s">
        <v>626</v>
      </c>
      <c r="C70" s="7" t="s">
        <v>565</v>
      </c>
      <c r="D70" s="7" t="s">
        <v>509</v>
      </c>
      <c r="E70" s="7" t="s">
        <v>612</v>
      </c>
      <c r="F70" s="7" t="s">
        <v>625</v>
      </c>
      <c r="G70" s="7" t="s">
        <v>518</v>
      </c>
      <c r="H70" s="7" t="s">
        <v>487</v>
      </c>
      <c r="I70" s="27" t="s">
        <v>273</v>
      </c>
      <c r="J70" s="27" t="s">
        <v>488</v>
      </c>
      <c r="K70" s="27" t="s">
        <v>576</v>
      </c>
      <c r="L70" s="27" t="s">
        <v>380</v>
      </c>
      <c r="M70" s="27" t="s">
        <v>380</v>
      </c>
      <c r="N70" s="27" t="s">
        <v>578</v>
      </c>
      <c r="O70" s="27"/>
    </row>
    <row r="71" customFormat="false" ht="35.05" hidden="false" customHeight="false" outlineLevel="0" collapsed="false">
      <c r="A71" s="7" t="n">
        <v>47</v>
      </c>
      <c r="B71" s="7" t="s">
        <v>627</v>
      </c>
      <c r="C71" s="7" t="s">
        <v>565</v>
      </c>
      <c r="D71" s="7" t="s">
        <v>628</v>
      </c>
      <c r="E71" s="7" t="s">
        <v>612</v>
      </c>
      <c r="F71" s="7" t="s">
        <v>629</v>
      </c>
      <c r="G71" s="7" t="s">
        <v>99</v>
      </c>
      <c r="H71" s="7" t="s">
        <v>487</v>
      </c>
      <c r="I71" s="27" t="s">
        <v>105</v>
      </c>
      <c r="J71" s="27" t="s">
        <v>488</v>
      </c>
      <c r="K71" s="27" t="s">
        <v>630</v>
      </c>
      <c r="L71" s="27" t="s">
        <v>380</v>
      </c>
      <c r="M71" s="27" t="s">
        <v>631</v>
      </c>
      <c r="N71" s="27" t="s">
        <v>632</v>
      </c>
      <c r="O71" s="27" t="s">
        <v>633</v>
      </c>
    </row>
    <row r="72" customFormat="false" ht="35.05" hidden="false" customHeight="false" outlineLevel="0" collapsed="false">
      <c r="A72" s="7" t="n">
        <v>47</v>
      </c>
      <c r="B72" s="7" t="s">
        <v>627</v>
      </c>
      <c r="C72" s="7" t="s">
        <v>565</v>
      </c>
      <c r="D72" s="7" t="s">
        <v>634</v>
      </c>
      <c r="E72" s="7" t="s">
        <v>612</v>
      </c>
      <c r="F72" s="7" t="s">
        <v>502</v>
      </c>
      <c r="G72" s="7" t="s">
        <v>99</v>
      </c>
      <c r="H72" s="7" t="s">
        <v>487</v>
      </c>
      <c r="I72" s="27" t="s">
        <v>635</v>
      </c>
      <c r="J72" s="27" t="s">
        <v>488</v>
      </c>
      <c r="K72" s="27" t="s">
        <v>636</v>
      </c>
      <c r="L72" s="27" t="s">
        <v>380</v>
      </c>
      <c r="M72" s="27" t="s">
        <v>637</v>
      </c>
      <c r="N72" s="27" t="s">
        <v>638</v>
      </c>
      <c r="O72" s="27"/>
    </row>
    <row r="73" customFormat="false" ht="35.05" hidden="false" customHeight="false" outlineLevel="0" collapsed="false">
      <c r="A73" s="7" t="n">
        <v>47</v>
      </c>
      <c r="B73" s="7" t="s">
        <v>627</v>
      </c>
      <c r="C73" s="7" t="s">
        <v>565</v>
      </c>
      <c r="D73" s="7" t="s">
        <v>639</v>
      </c>
      <c r="E73" s="7" t="s">
        <v>612</v>
      </c>
      <c r="F73" s="7" t="s">
        <v>567</v>
      </c>
      <c r="G73" s="7" t="s">
        <v>99</v>
      </c>
      <c r="H73" s="7" t="s">
        <v>487</v>
      </c>
      <c r="I73" s="27" t="s">
        <v>211</v>
      </c>
      <c r="J73" s="27" t="s">
        <v>488</v>
      </c>
      <c r="K73" s="27" t="s">
        <v>568</v>
      </c>
      <c r="L73" s="27" t="s">
        <v>569</v>
      </c>
      <c r="M73" s="27" t="s">
        <v>640</v>
      </c>
      <c r="N73" s="27" t="s">
        <v>571</v>
      </c>
      <c r="O73" s="27" t="s">
        <v>641</v>
      </c>
    </row>
    <row r="74" customFormat="false" ht="35.05" hidden="false" customHeight="false" outlineLevel="0" collapsed="false">
      <c r="A74" s="7" t="n">
        <v>47</v>
      </c>
      <c r="B74" s="7" t="s">
        <v>627</v>
      </c>
      <c r="C74" s="7" t="s">
        <v>565</v>
      </c>
      <c r="D74" s="7" t="s">
        <v>642</v>
      </c>
      <c r="E74" s="7" t="s">
        <v>612</v>
      </c>
      <c r="F74" s="7" t="s">
        <v>643</v>
      </c>
      <c r="G74" s="7" t="s">
        <v>99</v>
      </c>
      <c r="H74" s="7" t="s">
        <v>487</v>
      </c>
      <c r="I74" s="27" t="s">
        <v>635</v>
      </c>
      <c r="J74" s="27" t="s">
        <v>488</v>
      </c>
      <c r="K74" s="27" t="s">
        <v>644</v>
      </c>
      <c r="L74" s="27" t="s">
        <v>380</v>
      </c>
      <c r="M74" s="27" t="s">
        <v>645</v>
      </c>
      <c r="N74" s="27" t="s">
        <v>646</v>
      </c>
      <c r="O74" s="27"/>
    </row>
    <row r="75" customFormat="false" ht="35.05" hidden="false" customHeight="false" outlineLevel="0" collapsed="false">
      <c r="A75" s="7" t="n">
        <v>48</v>
      </c>
      <c r="B75" s="7" t="s">
        <v>647</v>
      </c>
      <c r="C75" s="7" t="s">
        <v>565</v>
      </c>
      <c r="D75" s="7" t="s">
        <v>648</v>
      </c>
      <c r="E75" s="7" t="s">
        <v>612</v>
      </c>
      <c r="F75" s="7" t="s">
        <v>629</v>
      </c>
      <c r="G75" s="7" t="s">
        <v>518</v>
      </c>
      <c r="H75" s="7" t="s">
        <v>487</v>
      </c>
      <c r="I75" s="27" t="s">
        <v>105</v>
      </c>
      <c r="J75" s="27" t="s">
        <v>488</v>
      </c>
      <c r="K75" s="27" t="s">
        <v>649</v>
      </c>
      <c r="L75" s="27" t="s">
        <v>380</v>
      </c>
      <c r="M75" s="27" t="s">
        <v>650</v>
      </c>
      <c r="N75" s="27" t="s">
        <v>651</v>
      </c>
      <c r="O75" s="27" t="s">
        <v>652</v>
      </c>
    </row>
    <row r="76" customFormat="false" ht="35.05" hidden="false" customHeight="false" outlineLevel="0" collapsed="false">
      <c r="A76" s="7" t="n">
        <v>48</v>
      </c>
      <c r="B76" s="7" t="s">
        <v>647</v>
      </c>
      <c r="C76" s="7" t="s">
        <v>565</v>
      </c>
      <c r="D76" s="7" t="s">
        <v>653</v>
      </c>
      <c r="E76" s="7" t="s">
        <v>612</v>
      </c>
      <c r="F76" s="7" t="s">
        <v>502</v>
      </c>
      <c r="G76" s="7" t="s">
        <v>99</v>
      </c>
      <c r="H76" s="7" t="s">
        <v>487</v>
      </c>
      <c r="I76" s="27" t="s">
        <v>635</v>
      </c>
      <c r="J76" s="27" t="s">
        <v>488</v>
      </c>
      <c r="K76" s="27" t="s">
        <v>654</v>
      </c>
      <c r="L76" s="27" t="s">
        <v>380</v>
      </c>
      <c r="M76" s="27" t="s">
        <v>655</v>
      </c>
      <c r="N76" s="27" t="s">
        <v>656</v>
      </c>
      <c r="O76" s="27"/>
    </row>
    <row r="77" customFormat="false" ht="35.05" hidden="false" customHeight="false" outlineLevel="0" collapsed="false">
      <c r="A77" s="7" t="n">
        <v>49</v>
      </c>
      <c r="B77" s="7" t="s">
        <v>657</v>
      </c>
      <c r="C77" s="7" t="s">
        <v>565</v>
      </c>
      <c r="D77" s="7" t="s">
        <v>115</v>
      </c>
      <c r="E77" s="7" t="s">
        <v>658</v>
      </c>
      <c r="F77" s="7" t="s">
        <v>557</v>
      </c>
      <c r="G77" s="7" t="s">
        <v>99</v>
      </c>
      <c r="H77" s="7" t="s">
        <v>487</v>
      </c>
      <c r="I77" s="27" t="s">
        <v>211</v>
      </c>
      <c r="J77" s="27" t="s">
        <v>488</v>
      </c>
      <c r="K77" s="27" t="s">
        <v>558</v>
      </c>
      <c r="L77" s="27" t="s">
        <v>380</v>
      </c>
      <c r="M77" s="27" t="s">
        <v>380</v>
      </c>
      <c r="N77" s="27" t="s">
        <v>559</v>
      </c>
      <c r="O77" s="27"/>
    </row>
    <row r="78" customFormat="false" ht="35.05" hidden="false" customHeight="false" outlineLevel="0" collapsed="false">
      <c r="A78" s="7" t="n">
        <v>49</v>
      </c>
      <c r="B78" s="7" t="s">
        <v>657</v>
      </c>
      <c r="C78" s="7" t="s">
        <v>565</v>
      </c>
      <c r="D78" s="7" t="s">
        <v>127</v>
      </c>
      <c r="E78" s="7" t="s">
        <v>658</v>
      </c>
      <c r="F78" s="7" t="s">
        <v>502</v>
      </c>
      <c r="G78" s="7" t="s">
        <v>99</v>
      </c>
      <c r="H78" s="7" t="s">
        <v>487</v>
      </c>
      <c r="I78" s="27" t="s">
        <v>273</v>
      </c>
      <c r="J78" s="27" t="s">
        <v>488</v>
      </c>
      <c r="K78" s="27" t="s">
        <v>576</v>
      </c>
      <c r="L78" s="27" t="s">
        <v>380</v>
      </c>
      <c r="M78" s="27" t="s">
        <v>380</v>
      </c>
      <c r="N78" s="27" t="s">
        <v>578</v>
      </c>
      <c r="O78" s="27" t="s">
        <v>659</v>
      </c>
    </row>
    <row r="80" customFormat="false" ht="15" hidden="false" customHeight="false" outlineLevel="0" collapsed="false">
      <c r="A80" s="28" t="s">
        <v>660</v>
      </c>
      <c r="B80" s="28"/>
      <c r="C80" s="28"/>
      <c r="D80" s="28"/>
      <c r="E80" s="28"/>
      <c r="F80" s="29" t="n">
        <f aca="false">SUMPRODUCT((A2:A78&lt;&gt;"")/COUNTIF(A2:A78,A2:A78&amp;""))</f>
        <v>49</v>
      </c>
    </row>
    <row r="81" customFormat="false" ht="15" hidden="false" customHeight="false" outlineLevel="0" collapsed="false">
      <c r="A81" s="28" t="s">
        <v>661</v>
      </c>
      <c r="B81" s="28"/>
      <c r="C81" s="28"/>
      <c r="D81" s="28"/>
      <c r="E81" s="28"/>
      <c r="F81" s="29" t="n">
        <f aca="false">COUNTA(D2:D78)</f>
        <v>77</v>
      </c>
    </row>
    <row r="82" customFormat="false" ht="15" hidden="false" customHeight="false" outlineLevel="0" collapsed="false">
      <c r="A82" s="28" t="s">
        <v>662</v>
      </c>
      <c r="B82" s="28"/>
      <c r="C82" s="28"/>
      <c r="D82" s="28"/>
      <c r="E82" s="28"/>
      <c r="F82" s="29" t="n">
        <f aca="false">COUNTIF(J2:J78,"Analizada en Validación")</f>
        <v>28</v>
      </c>
    </row>
    <row r="83" customFormat="false" ht="15" hidden="false" customHeight="false" outlineLevel="0" collapsed="false">
      <c r="A83" s="28" t="s">
        <v>663</v>
      </c>
      <c r="B83" s="28"/>
      <c r="C83" s="28"/>
      <c r="D83" s="28"/>
      <c r="E83" s="28"/>
      <c r="F83" s="29" t="n">
        <f aca="false">COUNTIF(J2:J78,"Preliminar (sujeta a D-16)")</f>
        <v>49</v>
      </c>
    </row>
    <row r="84" customFormat="false" ht="15" hidden="false" customHeight="false" outlineLevel="0" collapsed="false">
      <c r="A84" s="28" t="s">
        <v>664</v>
      </c>
      <c r="B84" s="28"/>
      <c r="C84" s="28"/>
      <c r="D84" s="28"/>
      <c r="E84" s="28"/>
      <c r="F84" s="29" t="n">
        <f aca="false">COUNTIFS(J2:J78,"Preliminar (sujeta a D-16)",I2:I78,"Entidad por 2.3*")</f>
        <v>13</v>
      </c>
    </row>
    <row r="85" customFormat="false" ht="15" hidden="false" customHeight="false" outlineLevel="0" collapsed="false">
      <c r="A85" s="28" t="s">
        <v>665</v>
      </c>
      <c r="B85" s="28"/>
      <c r="C85" s="28"/>
      <c r="D85" s="28"/>
      <c r="E85" s="28"/>
      <c r="F85" s="29" t="n">
        <f aca="false">COUNTIFS(J2:J78,"Preliminar (sujeta a D-16)",M2:M78,"Ninguna")</f>
        <v>29</v>
      </c>
    </row>
    <row r="87" customFormat="false" ht="75" hidden="false" customHeight="true" outlineLevel="0" collapsed="false">
      <c r="A87" s="25" t="s">
        <v>666</v>
      </c>
      <c r="B87" s="25"/>
      <c r="C87" s="25"/>
      <c r="D87" s="25"/>
      <c r="E87" s="25"/>
      <c r="F87" s="25"/>
      <c r="G87" s="25"/>
      <c r="H87" s="25"/>
      <c r="I87" s="25"/>
      <c r="J87" s="25"/>
      <c r="K87" s="25"/>
      <c r="L87" s="25"/>
      <c r="M87" s="25"/>
      <c r="N87" s="25"/>
      <c r="O87" s="25"/>
    </row>
  </sheetData>
  <autoFilter ref="A1:O78"/>
  <mergeCells count="7">
    <mergeCell ref="A80:E80"/>
    <mergeCell ref="A81:E81"/>
    <mergeCell ref="A82:E82"/>
    <mergeCell ref="A83:E83"/>
    <mergeCell ref="A84:E84"/>
    <mergeCell ref="A85:E85"/>
    <mergeCell ref="A87:O87"/>
  </mergeCells>
  <dataValidations count="2">
    <dataValidation allowBlank="true" errorStyle="stop" operator="between" showDropDown="false" showErrorMessage="false" showInputMessage="false" sqref="I2:I128" type="list">
      <formula1>"Entidad por 2.1,Entidad por 2.3,Entidad por 2.3 (un catálogo por tipo),Reutiliza otra entidad,Campo del paciente,Campo de la atención,Campo de la tecnología,Campo del antecedente,Pendiente de decisión"</formula1>
      <formula2>0</formula2>
    </dataValidation>
    <dataValidation allowBlank="true" errorStyle="stop" operator="between" showDropDown="false" showErrorMessage="false" showInputMessage="false" sqref="J2:J128" type="list">
      <formula1>"Analizada en Validación,Preliminar (sujeta a D-16)"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3" min="3" style="0" width="26"/>
    <col collapsed="false" customWidth="true" hidden="false" outlineLevel="0" max="4" min="4" style="0" width="14"/>
    <col collapsed="false" customWidth="true" hidden="false" outlineLevel="0" max="5" min="5" style="0" width="26"/>
    <col collapsed="false" customWidth="true" hidden="false" outlineLevel="0" max="6" min="6" style="0" width="11"/>
    <col collapsed="false" customWidth="true" hidden="false" outlineLevel="0" max="7" min="7" style="0" width="7"/>
    <col collapsed="false" customWidth="true" hidden="false" outlineLevel="0" max="8" min="8" style="0" width="13"/>
    <col collapsed="false" customWidth="true" hidden="false" outlineLevel="0" max="9" min="9" style="0" width="44"/>
    <col collapsed="false" customWidth="true" hidden="false" outlineLevel="0" max="11" min="10" style="0" width="13"/>
  </cols>
  <sheetData>
    <row r="1" customFormat="false" ht="35.05" hidden="false" customHeight="false" outlineLevel="0" collapsed="false">
      <c r="A1" s="26" t="s">
        <v>667</v>
      </c>
      <c r="B1" s="26" t="s">
        <v>668</v>
      </c>
      <c r="C1" s="26" t="s">
        <v>65</v>
      </c>
      <c r="D1" s="26" t="s">
        <v>669</v>
      </c>
      <c r="E1" s="26" t="s">
        <v>670</v>
      </c>
      <c r="F1" s="26" t="s">
        <v>671</v>
      </c>
      <c r="G1" s="26" t="s">
        <v>672</v>
      </c>
      <c r="H1" s="16" t="s">
        <v>83</v>
      </c>
      <c r="I1" s="16" t="s">
        <v>673</v>
      </c>
      <c r="J1" s="26" t="s">
        <v>674</v>
      </c>
      <c r="K1" s="26" t="s">
        <v>675</v>
      </c>
    </row>
    <row r="2" customFormat="false" ht="15" hidden="false" customHeight="false" outlineLevel="0" collapsed="false">
      <c r="A2" s="7" t="s">
        <v>676</v>
      </c>
      <c r="B2" s="7" t="s">
        <v>677</v>
      </c>
      <c r="C2" s="7" t="s">
        <v>354</v>
      </c>
      <c r="D2" s="7" t="s">
        <v>678</v>
      </c>
      <c r="E2" s="7" t="s">
        <v>679</v>
      </c>
      <c r="F2" s="7" t="s">
        <v>680</v>
      </c>
      <c r="G2" s="7" t="s">
        <v>681</v>
      </c>
      <c r="H2" s="18" t="s">
        <v>682</v>
      </c>
      <c r="I2" s="18" t="s">
        <v>683</v>
      </c>
      <c r="J2" s="30" t="n">
        <f aca="false">COUNTIF('Ajustes por historia'!I:I,A2)</f>
        <v>8</v>
      </c>
      <c r="K2" s="30" t="n">
        <f aca="false">COUNTIF(Retroalimentación!F:F,A2)</f>
        <v>7</v>
      </c>
    </row>
    <row r="3" customFormat="false" ht="15" hidden="false" customHeight="false" outlineLevel="0" collapsed="false">
      <c r="A3" s="7" t="s">
        <v>684</v>
      </c>
      <c r="B3" s="7" t="s">
        <v>685</v>
      </c>
      <c r="C3" s="7" t="s">
        <v>686</v>
      </c>
      <c r="D3" s="7" t="s">
        <v>362</v>
      </c>
      <c r="E3" s="7" t="s">
        <v>684</v>
      </c>
      <c r="F3" s="7" t="s">
        <v>687</v>
      </c>
      <c r="G3" s="7" t="s">
        <v>681</v>
      </c>
      <c r="H3" s="18" t="s">
        <v>682</v>
      </c>
      <c r="I3" s="18" t="s">
        <v>683</v>
      </c>
      <c r="J3" s="30" t="n">
        <f aca="false">COUNTIF('Ajustes por historia'!I:I,A3)</f>
        <v>6</v>
      </c>
      <c r="K3" s="30" t="n">
        <f aca="false">COUNTIF(Retroalimentación!F:F,A3)</f>
        <v>2</v>
      </c>
    </row>
    <row r="4" customFormat="false" ht="15" hidden="false" customHeight="false" outlineLevel="0" collapsed="false">
      <c r="A4" s="7" t="s">
        <v>688</v>
      </c>
      <c r="B4" s="7" t="s">
        <v>689</v>
      </c>
      <c r="C4" s="7" t="s">
        <v>686</v>
      </c>
      <c r="D4" s="7" t="s">
        <v>362</v>
      </c>
      <c r="E4" s="7" t="s">
        <v>688</v>
      </c>
      <c r="F4" s="7" t="s">
        <v>687</v>
      </c>
      <c r="G4" s="7" t="s">
        <v>681</v>
      </c>
      <c r="H4" s="18" t="s">
        <v>682</v>
      </c>
      <c r="I4" s="18" t="s">
        <v>683</v>
      </c>
      <c r="J4" s="30" t="n">
        <f aca="false">COUNTIF('Ajustes por historia'!I:I,A4)</f>
        <v>5</v>
      </c>
      <c r="K4" s="30" t="n">
        <f aca="false">COUNTIF(Retroalimentación!F:F,A4)</f>
        <v>2</v>
      </c>
    </row>
    <row r="5" customFormat="false" ht="15" hidden="false" customHeight="false" outlineLevel="0" collapsed="false">
      <c r="A5" s="7" t="s">
        <v>690</v>
      </c>
      <c r="B5" s="7" t="s">
        <v>691</v>
      </c>
      <c r="C5" s="7" t="s">
        <v>686</v>
      </c>
      <c r="D5" s="7" t="s">
        <v>362</v>
      </c>
      <c r="E5" s="7" t="s">
        <v>690</v>
      </c>
      <c r="F5" s="7" t="s">
        <v>687</v>
      </c>
      <c r="G5" s="7" t="s">
        <v>681</v>
      </c>
      <c r="H5" s="18" t="s">
        <v>682</v>
      </c>
      <c r="I5" s="18" t="s">
        <v>683</v>
      </c>
      <c r="J5" s="30" t="n">
        <f aca="false">COUNTIF('Ajustes por historia'!I:I,A5)</f>
        <v>4</v>
      </c>
      <c r="K5" s="30" t="n">
        <f aca="false">COUNTIF(Retroalimentación!F:F,A5)</f>
        <v>2</v>
      </c>
    </row>
    <row r="6" customFormat="false" ht="23.85" hidden="false" customHeight="false" outlineLevel="0" collapsed="false">
      <c r="A6" s="7" t="s">
        <v>692</v>
      </c>
      <c r="B6" s="7" t="s">
        <v>693</v>
      </c>
      <c r="C6" s="7" t="s">
        <v>694</v>
      </c>
      <c r="D6" s="7" t="s">
        <v>368</v>
      </c>
      <c r="E6" s="7" t="s">
        <v>692</v>
      </c>
      <c r="F6" s="7" t="s">
        <v>687</v>
      </c>
      <c r="G6" s="7" t="s">
        <v>695</v>
      </c>
      <c r="H6" s="18" t="s">
        <v>682</v>
      </c>
      <c r="I6" s="18" t="s">
        <v>696</v>
      </c>
      <c r="J6" s="30" t="n">
        <f aca="false">COUNTIF('Ajustes por historia'!I:I,A6)</f>
        <v>6</v>
      </c>
      <c r="K6" s="30" t="n">
        <f aca="false">COUNTIF(Retroalimentación!F:F,A6)</f>
        <v>2</v>
      </c>
    </row>
    <row r="7" customFormat="false" ht="23.85" hidden="false" customHeight="false" outlineLevel="0" collapsed="false">
      <c r="A7" s="7" t="s">
        <v>697</v>
      </c>
      <c r="B7" s="7" t="s">
        <v>698</v>
      </c>
      <c r="C7" s="7" t="s">
        <v>694</v>
      </c>
      <c r="D7" s="7" t="s">
        <v>368</v>
      </c>
      <c r="E7" s="7" t="s">
        <v>697</v>
      </c>
      <c r="F7" s="7" t="s">
        <v>687</v>
      </c>
      <c r="G7" s="7" t="s">
        <v>695</v>
      </c>
      <c r="H7" s="18" t="s">
        <v>682</v>
      </c>
      <c r="I7" s="18" t="s">
        <v>696</v>
      </c>
      <c r="J7" s="30" t="n">
        <f aca="false">COUNTIF('Ajustes por historia'!I:I,A7)</f>
        <v>6</v>
      </c>
      <c r="K7" s="30" t="n">
        <f aca="false">COUNTIF(Retroalimentación!F:F,A7)</f>
        <v>2</v>
      </c>
    </row>
    <row r="8" customFormat="false" ht="23.85" hidden="false" customHeight="false" outlineLevel="0" collapsed="false">
      <c r="A8" s="7" t="s">
        <v>699</v>
      </c>
      <c r="B8" s="7" t="s">
        <v>700</v>
      </c>
      <c r="C8" s="7" t="s">
        <v>694</v>
      </c>
      <c r="D8" s="7" t="s">
        <v>368</v>
      </c>
      <c r="E8" s="7" t="s">
        <v>699</v>
      </c>
      <c r="F8" s="7" t="s">
        <v>687</v>
      </c>
      <c r="G8" s="7" t="s">
        <v>695</v>
      </c>
      <c r="H8" s="18" t="s">
        <v>682</v>
      </c>
      <c r="I8" s="18" t="s">
        <v>696</v>
      </c>
      <c r="J8" s="30" t="n">
        <f aca="false">COUNTIF('Ajustes por historia'!I:I,A8)</f>
        <v>3</v>
      </c>
      <c r="K8" s="30" t="n">
        <f aca="false">COUNTIF(Retroalimentación!F:F,A8)</f>
        <v>2</v>
      </c>
    </row>
    <row r="9" customFormat="false" ht="23.85" hidden="false" customHeight="false" outlineLevel="0" collapsed="false">
      <c r="A9" s="7" t="s">
        <v>701</v>
      </c>
      <c r="B9" s="7" t="s">
        <v>702</v>
      </c>
      <c r="C9" s="7" t="s">
        <v>694</v>
      </c>
      <c r="D9" s="7" t="s">
        <v>368</v>
      </c>
      <c r="E9" s="7" t="s">
        <v>703</v>
      </c>
      <c r="F9" s="7" t="s">
        <v>704</v>
      </c>
      <c r="G9" s="7" t="s">
        <v>695</v>
      </c>
      <c r="H9" s="18" t="s">
        <v>682</v>
      </c>
      <c r="I9" s="18" t="s">
        <v>696</v>
      </c>
      <c r="J9" s="30" t="n">
        <f aca="false">COUNTIF('Ajustes por historia'!I:I,A9)</f>
        <v>0</v>
      </c>
      <c r="K9" s="30" t="n">
        <f aca="false">COUNTIF(Retroalimentación!F:F,A9)</f>
        <v>0</v>
      </c>
    </row>
    <row r="10" customFormat="false" ht="23.85" hidden="false" customHeight="false" outlineLevel="0" collapsed="false">
      <c r="A10" s="7" t="s">
        <v>705</v>
      </c>
      <c r="B10" s="7" t="s">
        <v>706</v>
      </c>
      <c r="C10" s="7" t="s">
        <v>707</v>
      </c>
      <c r="D10" s="7" t="s">
        <v>203</v>
      </c>
      <c r="E10" s="7" t="s">
        <v>705</v>
      </c>
      <c r="F10" s="7" t="s">
        <v>687</v>
      </c>
      <c r="G10" s="7" t="s">
        <v>708</v>
      </c>
      <c r="H10" s="18" t="s">
        <v>682</v>
      </c>
      <c r="I10" s="18" t="s">
        <v>709</v>
      </c>
      <c r="J10" s="30" t="n">
        <f aca="false">COUNTIF('Ajustes por historia'!I:I,A10)</f>
        <v>4</v>
      </c>
      <c r="K10" s="30" t="n">
        <f aca="false">COUNTIF(Retroalimentación!F:F,A10)</f>
        <v>2</v>
      </c>
    </row>
    <row r="11" customFormat="false" ht="23.85" hidden="false" customHeight="false" outlineLevel="0" collapsed="false">
      <c r="A11" s="7" t="s">
        <v>710</v>
      </c>
      <c r="B11" s="7" t="s">
        <v>711</v>
      </c>
      <c r="C11" s="7" t="s">
        <v>707</v>
      </c>
      <c r="D11" s="7" t="s">
        <v>203</v>
      </c>
      <c r="E11" s="7" t="s">
        <v>710</v>
      </c>
      <c r="F11" s="7" t="s">
        <v>687</v>
      </c>
      <c r="G11" s="7" t="s">
        <v>708</v>
      </c>
      <c r="H11" s="18" t="s">
        <v>682</v>
      </c>
      <c r="I11" s="18" t="s">
        <v>709</v>
      </c>
      <c r="J11" s="30" t="n">
        <f aca="false">COUNTIF('Ajustes por historia'!I:I,A11)</f>
        <v>3</v>
      </c>
      <c r="K11" s="30" t="n">
        <f aca="false">COUNTIF(Retroalimentación!F:F,A11)</f>
        <v>2</v>
      </c>
    </row>
    <row r="12" customFormat="false" ht="23.85" hidden="false" customHeight="false" outlineLevel="0" collapsed="false">
      <c r="A12" s="7" t="s">
        <v>712</v>
      </c>
      <c r="B12" s="7" t="s">
        <v>713</v>
      </c>
      <c r="C12" s="7" t="s">
        <v>707</v>
      </c>
      <c r="D12" s="7" t="s">
        <v>203</v>
      </c>
      <c r="E12" s="7" t="s">
        <v>712</v>
      </c>
      <c r="F12" s="7" t="s">
        <v>687</v>
      </c>
      <c r="G12" s="7" t="s">
        <v>708</v>
      </c>
      <c r="H12" s="18" t="s">
        <v>682</v>
      </c>
      <c r="I12" s="18" t="s">
        <v>709</v>
      </c>
      <c r="J12" s="30" t="n">
        <f aca="false">COUNTIF('Ajustes por historia'!I:I,A12)</f>
        <v>3</v>
      </c>
      <c r="K12" s="30" t="n">
        <f aca="false">COUNTIF(Retroalimentación!F:F,A12)</f>
        <v>2</v>
      </c>
    </row>
    <row r="13" customFormat="false" ht="23.85" hidden="false" customHeight="false" outlineLevel="0" collapsed="false">
      <c r="A13" s="7" t="s">
        <v>714</v>
      </c>
      <c r="B13" s="7" t="s">
        <v>715</v>
      </c>
      <c r="C13" s="7" t="s">
        <v>707</v>
      </c>
      <c r="D13" s="7" t="s">
        <v>203</v>
      </c>
      <c r="E13" s="7" t="s">
        <v>714</v>
      </c>
      <c r="F13" s="7" t="s">
        <v>687</v>
      </c>
      <c r="G13" s="7" t="s">
        <v>708</v>
      </c>
      <c r="H13" s="18" t="s">
        <v>682</v>
      </c>
      <c r="I13" s="18" t="s">
        <v>709</v>
      </c>
      <c r="J13" s="30" t="n">
        <f aca="false">COUNTIF('Ajustes por historia'!I:I,A13)</f>
        <v>3</v>
      </c>
      <c r="K13" s="30" t="n">
        <f aca="false">COUNTIF(Retroalimentación!F:F,A13)</f>
        <v>2</v>
      </c>
    </row>
    <row r="14" customFormat="false" ht="23.85" hidden="false" customHeight="false" outlineLevel="0" collapsed="false">
      <c r="A14" s="7" t="s">
        <v>716</v>
      </c>
      <c r="B14" s="7" t="s">
        <v>717</v>
      </c>
      <c r="C14" s="7" t="s">
        <v>718</v>
      </c>
      <c r="D14" s="7" t="s">
        <v>281</v>
      </c>
      <c r="E14" s="7" t="s">
        <v>716</v>
      </c>
      <c r="F14" s="7" t="s">
        <v>687</v>
      </c>
      <c r="G14" s="7" t="s">
        <v>708</v>
      </c>
      <c r="H14" s="18" t="s">
        <v>682</v>
      </c>
      <c r="I14" s="18" t="s">
        <v>709</v>
      </c>
      <c r="J14" s="30" t="n">
        <f aca="false">COUNTIF('Ajustes por historia'!I:I,A14)</f>
        <v>5</v>
      </c>
      <c r="K14" s="30" t="n">
        <f aca="false">COUNTIF(Retroalimentación!F:F,A14)</f>
        <v>2</v>
      </c>
    </row>
    <row r="15" customFormat="false" ht="23.85" hidden="false" customHeight="false" outlineLevel="0" collapsed="false">
      <c r="A15" s="7" t="s">
        <v>719</v>
      </c>
      <c r="B15" s="7" t="s">
        <v>720</v>
      </c>
      <c r="C15" s="7" t="s">
        <v>718</v>
      </c>
      <c r="D15" s="7" t="s">
        <v>281</v>
      </c>
      <c r="E15" s="7" t="s">
        <v>719</v>
      </c>
      <c r="F15" s="7" t="s">
        <v>687</v>
      </c>
      <c r="G15" s="7" t="s">
        <v>708</v>
      </c>
      <c r="H15" s="18" t="s">
        <v>682</v>
      </c>
      <c r="I15" s="18" t="s">
        <v>709</v>
      </c>
      <c r="J15" s="30" t="n">
        <f aca="false">COUNTIF('Ajustes por historia'!I:I,A15)</f>
        <v>3</v>
      </c>
      <c r="K15" s="30" t="n">
        <f aca="false">COUNTIF(Retroalimentación!F:F,A15)</f>
        <v>2</v>
      </c>
    </row>
    <row r="16" customFormat="false" ht="23.85" hidden="false" customHeight="false" outlineLevel="0" collapsed="false">
      <c r="A16" s="7" t="s">
        <v>721</v>
      </c>
      <c r="B16" s="7" t="s">
        <v>722</v>
      </c>
      <c r="C16" s="7" t="s">
        <v>718</v>
      </c>
      <c r="D16" s="7" t="s">
        <v>281</v>
      </c>
      <c r="E16" s="7" t="s">
        <v>721</v>
      </c>
      <c r="F16" s="7" t="s">
        <v>687</v>
      </c>
      <c r="G16" s="7" t="s">
        <v>708</v>
      </c>
      <c r="H16" s="18" t="s">
        <v>682</v>
      </c>
      <c r="I16" s="18" t="s">
        <v>709</v>
      </c>
      <c r="J16" s="30" t="n">
        <f aca="false">COUNTIF('Ajustes por historia'!I:I,A16)</f>
        <v>3</v>
      </c>
      <c r="K16" s="30" t="n">
        <f aca="false">COUNTIF(Retroalimentación!F:F,A16)</f>
        <v>2</v>
      </c>
    </row>
    <row r="17" customFormat="false" ht="23.85" hidden="false" customHeight="false" outlineLevel="0" collapsed="false">
      <c r="A17" s="7" t="s">
        <v>723</v>
      </c>
      <c r="B17" s="7" t="s">
        <v>724</v>
      </c>
      <c r="C17" s="7" t="s">
        <v>718</v>
      </c>
      <c r="D17" s="7" t="s">
        <v>281</v>
      </c>
      <c r="E17" s="7" t="s">
        <v>723</v>
      </c>
      <c r="F17" s="7" t="s">
        <v>687</v>
      </c>
      <c r="G17" s="7" t="s">
        <v>708</v>
      </c>
      <c r="H17" s="18" t="s">
        <v>682</v>
      </c>
      <c r="I17" s="18" t="s">
        <v>709</v>
      </c>
      <c r="J17" s="30" t="n">
        <f aca="false">COUNTIF('Ajustes por historia'!I:I,A17)</f>
        <v>3</v>
      </c>
      <c r="K17" s="30" t="n">
        <f aca="false">COUNTIF(Retroalimentación!F:F,A17)</f>
        <v>2</v>
      </c>
    </row>
    <row r="18" customFormat="false" ht="23.85" hidden="false" customHeight="false" outlineLevel="0" collapsed="false">
      <c r="A18" s="7" t="s">
        <v>725</v>
      </c>
      <c r="B18" s="7" t="s">
        <v>726</v>
      </c>
      <c r="C18" s="7" t="s">
        <v>727</v>
      </c>
      <c r="D18" s="7" t="s">
        <v>728</v>
      </c>
      <c r="E18" s="7" t="s">
        <v>729</v>
      </c>
      <c r="F18" s="7" t="s">
        <v>680</v>
      </c>
      <c r="G18" s="7" t="s">
        <v>730</v>
      </c>
      <c r="H18" s="18" t="s">
        <v>682</v>
      </c>
      <c r="I18" s="18" t="s">
        <v>731</v>
      </c>
      <c r="J18" s="30" t="n">
        <f aca="false">COUNTIF('Ajustes por historia'!I:I,A18)</f>
        <v>11</v>
      </c>
      <c r="K18" s="30" t="n">
        <f aca="false">COUNTIF(Retroalimentación!F:F,A18)</f>
        <v>8</v>
      </c>
    </row>
    <row r="19" customFormat="false" ht="23.85" hidden="false" customHeight="false" outlineLevel="0" collapsed="false">
      <c r="A19" s="7" t="s">
        <v>732</v>
      </c>
      <c r="B19" s="7" t="s">
        <v>733</v>
      </c>
      <c r="C19" s="7" t="s">
        <v>727</v>
      </c>
      <c r="D19" s="7" t="s">
        <v>229</v>
      </c>
      <c r="E19" s="7" t="s">
        <v>734</v>
      </c>
      <c r="F19" s="7" t="s">
        <v>680</v>
      </c>
      <c r="G19" s="7" t="s">
        <v>730</v>
      </c>
      <c r="H19" s="18" t="s">
        <v>682</v>
      </c>
      <c r="I19" s="18" t="s">
        <v>731</v>
      </c>
      <c r="J19" s="30" t="n">
        <f aca="false">COUNTIF('Ajustes por historia'!I:I,A19)</f>
        <v>11</v>
      </c>
      <c r="K19" s="30" t="n">
        <f aca="false">COUNTIF(Retroalimentación!F:F,A19)</f>
        <v>10</v>
      </c>
    </row>
    <row r="20" customFormat="false" ht="23.85" hidden="false" customHeight="false" outlineLevel="0" collapsed="false">
      <c r="A20" s="7" t="s">
        <v>735</v>
      </c>
      <c r="B20" s="7" t="s">
        <v>736</v>
      </c>
      <c r="C20" s="7" t="s">
        <v>727</v>
      </c>
      <c r="D20" s="7" t="s">
        <v>261</v>
      </c>
      <c r="E20" s="7" t="s">
        <v>737</v>
      </c>
      <c r="F20" s="7" t="s">
        <v>680</v>
      </c>
      <c r="G20" s="7" t="s">
        <v>730</v>
      </c>
      <c r="H20" s="18" t="s">
        <v>682</v>
      </c>
      <c r="I20" s="18" t="s">
        <v>731</v>
      </c>
      <c r="J20" s="30" t="n">
        <f aca="false">COUNTIF('Ajustes por historia'!I:I,A20)</f>
        <v>9</v>
      </c>
      <c r="K20" s="30" t="n">
        <f aca="false">COUNTIF(Retroalimentación!F:F,A20)</f>
        <v>8</v>
      </c>
    </row>
    <row r="21" customFormat="false" ht="15" hidden="false" customHeight="false" outlineLevel="0" collapsed="false">
      <c r="A21" s="7" t="s">
        <v>738</v>
      </c>
      <c r="B21" s="7" t="s">
        <v>739</v>
      </c>
      <c r="C21" s="7" t="s">
        <v>727</v>
      </c>
      <c r="D21" s="7" t="s">
        <v>119</v>
      </c>
      <c r="E21" s="7" t="s">
        <v>703</v>
      </c>
      <c r="F21" s="7" t="s">
        <v>704</v>
      </c>
      <c r="G21" s="7" t="s">
        <v>730</v>
      </c>
      <c r="H21" s="18" t="s">
        <v>682</v>
      </c>
      <c r="I21" s="18" t="s">
        <v>731</v>
      </c>
      <c r="J21" s="30" t="n">
        <f aca="false">COUNTIF('Ajustes por historia'!I:I,A21)</f>
        <v>0</v>
      </c>
      <c r="K21" s="30" t="n">
        <f aca="false">COUNTIF(Retroalimentación!F:F,A21)</f>
        <v>0</v>
      </c>
    </row>
    <row r="22" customFormat="false" ht="23.85" hidden="false" customHeight="false" outlineLevel="0" collapsed="false">
      <c r="A22" s="7" t="s">
        <v>740</v>
      </c>
      <c r="B22" s="7" t="s">
        <v>741</v>
      </c>
      <c r="C22" s="7" t="s">
        <v>727</v>
      </c>
      <c r="D22" s="7" t="s">
        <v>152</v>
      </c>
      <c r="E22" s="7" t="s">
        <v>703</v>
      </c>
      <c r="F22" s="7" t="s">
        <v>704</v>
      </c>
      <c r="G22" s="7" t="s">
        <v>730</v>
      </c>
      <c r="H22" s="18" t="s">
        <v>682</v>
      </c>
      <c r="I22" s="18" t="s">
        <v>731</v>
      </c>
      <c r="J22" s="30" t="n">
        <f aca="false">COUNTIF('Ajustes por historia'!I:I,A22)</f>
        <v>0</v>
      </c>
      <c r="K22" s="30" t="n">
        <f aca="false">COUNTIF(Retroalimentación!F:F,A22)</f>
        <v>0</v>
      </c>
    </row>
    <row r="23" customFormat="false" ht="15" hidden="false" customHeight="false" outlineLevel="0" collapsed="false">
      <c r="A23" s="7" t="s">
        <v>742</v>
      </c>
      <c r="B23" s="7" t="s">
        <v>743</v>
      </c>
      <c r="C23" s="7" t="s">
        <v>727</v>
      </c>
      <c r="D23" s="7" t="s">
        <v>96</v>
      </c>
      <c r="E23" s="7" t="s">
        <v>703</v>
      </c>
      <c r="F23" s="7" t="s">
        <v>704</v>
      </c>
      <c r="G23" s="7" t="s">
        <v>730</v>
      </c>
      <c r="H23" s="18" t="s">
        <v>682</v>
      </c>
      <c r="I23" s="18" t="s">
        <v>731</v>
      </c>
      <c r="J23" s="30" t="n">
        <f aca="false">COUNTIF('Ajustes por historia'!I:I,A23)</f>
        <v>0</v>
      </c>
      <c r="K23" s="30" t="n">
        <f aca="false">COUNTIF(Retroalimentación!F:F,A23)</f>
        <v>0</v>
      </c>
    </row>
    <row r="24" customFormat="false" ht="23.85" hidden="false" customHeight="false" outlineLevel="0" collapsed="false">
      <c r="A24" s="7" t="s">
        <v>744</v>
      </c>
      <c r="B24" s="7" t="s">
        <v>745</v>
      </c>
      <c r="C24" s="7" t="s">
        <v>727</v>
      </c>
      <c r="D24" s="7" t="s">
        <v>96</v>
      </c>
      <c r="E24" s="7" t="s">
        <v>703</v>
      </c>
      <c r="F24" s="7" t="s">
        <v>704</v>
      </c>
      <c r="G24" s="7" t="s">
        <v>730</v>
      </c>
      <c r="H24" s="18" t="s">
        <v>682</v>
      </c>
      <c r="I24" s="18" t="s">
        <v>731</v>
      </c>
      <c r="J24" s="30" t="n">
        <f aca="false">COUNTIF('Ajustes por historia'!I:I,A24)</f>
        <v>0</v>
      </c>
      <c r="K24" s="30" t="n">
        <f aca="false">COUNTIF(Retroalimentación!F:F,A24)</f>
        <v>0</v>
      </c>
    </row>
    <row r="25" customFormat="false" ht="23.85" hidden="false" customHeight="false" outlineLevel="0" collapsed="false">
      <c r="A25" s="7" t="s">
        <v>746</v>
      </c>
      <c r="B25" s="7" t="s">
        <v>747</v>
      </c>
      <c r="C25" s="7" t="s">
        <v>727</v>
      </c>
      <c r="D25" s="7" t="s">
        <v>210</v>
      </c>
      <c r="E25" s="7" t="s">
        <v>703</v>
      </c>
      <c r="F25" s="7" t="s">
        <v>704</v>
      </c>
      <c r="G25" s="7" t="s">
        <v>730</v>
      </c>
      <c r="H25" s="18" t="s">
        <v>682</v>
      </c>
      <c r="I25" s="18" t="s">
        <v>731</v>
      </c>
      <c r="J25" s="30" t="n">
        <f aca="false">COUNTIF('Ajustes por historia'!I:I,A25)</f>
        <v>0</v>
      </c>
      <c r="K25" s="30" t="n">
        <f aca="false">COUNTIF(Retroalimentación!F:F,A25)</f>
        <v>0</v>
      </c>
    </row>
    <row r="26" customFormat="false" ht="23.85" hidden="false" customHeight="false" outlineLevel="0" collapsed="false">
      <c r="A26" s="7" t="s">
        <v>748</v>
      </c>
      <c r="B26" s="7" t="s">
        <v>749</v>
      </c>
      <c r="C26" s="7" t="s">
        <v>325</v>
      </c>
      <c r="D26" s="7" t="s">
        <v>402</v>
      </c>
      <c r="E26" s="7" t="s">
        <v>750</v>
      </c>
      <c r="F26" s="7" t="s">
        <v>680</v>
      </c>
      <c r="G26" s="7" t="s">
        <v>751</v>
      </c>
      <c r="H26" s="18" t="s">
        <v>682</v>
      </c>
      <c r="I26" s="18" t="s">
        <v>752</v>
      </c>
      <c r="J26" s="30" t="n">
        <f aca="false">COUNTIF('Ajustes por historia'!I:I,A26)</f>
        <v>5</v>
      </c>
      <c r="K26" s="30" t="n">
        <f aca="false">COUNTIF(Retroalimentación!F:F,A26)</f>
        <v>4</v>
      </c>
    </row>
    <row r="27" customFormat="false" ht="23.85" hidden="false" customHeight="false" outlineLevel="0" collapsed="false">
      <c r="A27" s="7" t="s">
        <v>753</v>
      </c>
      <c r="B27" s="7" t="s">
        <v>754</v>
      </c>
      <c r="C27" s="7" t="s">
        <v>325</v>
      </c>
      <c r="D27" s="7" t="s">
        <v>402</v>
      </c>
      <c r="E27" s="7" t="s">
        <v>753</v>
      </c>
      <c r="F27" s="7" t="s">
        <v>687</v>
      </c>
      <c r="G27" s="7" t="s">
        <v>751</v>
      </c>
      <c r="H27" s="18" t="s">
        <v>682</v>
      </c>
      <c r="I27" s="18" t="s">
        <v>752</v>
      </c>
      <c r="J27" s="30" t="n">
        <f aca="false">COUNTIF('Ajustes por historia'!I:I,A27)</f>
        <v>1</v>
      </c>
      <c r="K27" s="30" t="n">
        <f aca="false">COUNTIF(Retroalimentación!F:F,A27)</f>
        <v>2</v>
      </c>
    </row>
    <row r="28" customFormat="false" ht="23.85" hidden="false" customHeight="false" outlineLevel="0" collapsed="false">
      <c r="A28" s="7" t="s">
        <v>755</v>
      </c>
      <c r="B28" s="7" t="s">
        <v>756</v>
      </c>
      <c r="C28" s="7" t="s">
        <v>727</v>
      </c>
      <c r="D28" s="7" t="s">
        <v>323</v>
      </c>
      <c r="E28" s="7" t="s">
        <v>703</v>
      </c>
      <c r="F28" s="7" t="s">
        <v>704</v>
      </c>
      <c r="G28" s="7" t="s">
        <v>751</v>
      </c>
      <c r="H28" s="18" t="s">
        <v>682</v>
      </c>
      <c r="I28" s="18" t="s">
        <v>752</v>
      </c>
      <c r="J28" s="30" t="n">
        <f aca="false">COUNTIF('Ajustes por historia'!I:I,A28)</f>
        <v>0</v>
      </c>
      <c r="K28" s="30" t="n">
        <f aca="false">COUNTIF(Retroalimentación!F:F,A28)</f>
        <v>0</v>
      </c>
    </row>
    <row r="29" customFormat="false" ht="23.85" hidden="false" customHeight="false" outlineLevel="0" collapsed="false">
      <c r="A29" s="7" t="s">
        <v>757</v>
      </c>
      <c r="B29" s="7" t="s">
        <v>758</v>
      </c>
      <c r="C29" s="7" t="s">
        <v>727</v>
      </c>
      <c r="D29" s="7" t="s">
        <v>131</v>
      </c>
      <c r="E29" s="7" t="s">
        <v>703</v>
      </c>
      <c r="F29" s="7" t="s">
        <v>704</v>
      </c>
      <c r="G29" s="7" t="s">
        <v>751</v>
      </c>
      <c r="H29" s="18" t="s">
        <v>682</v>
      </c>
      <c r="I29" s="18" t="s">
        <v>752</v>
      </c>
      <c r="J29" s="30" t="n">
        <f aca="false">COUNTIF('Ajustes por historia'!I:I,A29)</f>
        <v>0</v>
      </c>
      <c r="K29" s="30" t="n">
        <f aca="false">COUNTIF(Retroalimentación!F:F,A29)</f>
        <v>0</v>
      </c>
    </row>
    <row r="30" customFormat="false" ht="23.85" hidden="false" customHeight="false" outlineLevel="0" collapsed="false">
      <c r="A30" s="7" t="s">
        <v>759</v>
      </c>
      <c r="B30" s="7" t="s">
        <v>760</v>
      </c>
      <c r="C30" s="7" t="s">
        <v>727</v>
      </c>
      <c r="D30" s="7" t="s">
        <v>400</v>
      </c>
      <c r="E30" s="7" t="s">
        <v>703</v>
      </c>
      <c r="F30" s="7" t="s">
        <v>704</v>
      </c>
      <c r="G30" s="7" t="s">
        <v>751</v>
      </c>
      <c r="H30" s="18" t="s">
        <v>682</v>
      </c>
      <c r="I30" s="18" t="s">
        <v>752</v>
      </c>
      <c r="J30" s="30" t="n">
        <f aca="false">COUNTIF('Ajustes por historia'!I:I,A30)</f>
        <v>0</v>
      </c>
      <c r="K30" s="30" t="n">
        <f aca="false">COUNTIF(Retroalimentación!F:F,A30)</f>
        <v>0</v>
      </c>
    </row>
    <row r="31" customFormat="false" ht="23.85" hidden="false" customHeight="false" outlineLevel="0" collapsed="false">
      <c r="A31" s="7" t="s">
        <v>761</v>
      </c>
      <c r="B31" s="7" t="s">
        <v>762</v>
      </c>
      <c r="C31" s="7" t="s">
        <v>727</v>
      </c>
      <c r="D31" s="7" t="s">
        <v>402</v>
      </c>
      <c r="E31" s="7" t="s">
        <v>703</v>
      </c>
      <c r="F31" s="7" t="s">
        <v>704</v>
      </c>
      <c r="G31" s="7" t="s">
        <v>751</v>
      </c>
      <c r="H31" s="18" t="s">
        <v>682</v>
      </c>
      <c r="I31" s="18" t="s">
        <v>752</v>
      </c>
      <c r="J31" s="30" t="n">
        <f aca="false">COUNTIF('Ajustes por historia'!I:I,A31)</f>
        <v>0</v>
      </c>
      <c r="K31" s="30" t="n">
        <f aca="false">COUNTIF(Retroalimentación!F:F,A31)</f>
        <v>0</v>
      </c>
    </row>
    <row r="33" customFormat="false" ht="15" hidden="false" customHeight="false" outlineLevel="0" collapsed="false">
      <c r="A33" s="28" t="s">
        <v>763</v>
      </c>
      <c r="B33" s="28"/>
      <c r="C33" s="28"/>
      <c r="D33" s="29" t="n">
        <f aca="false">COUNTA(A2:A31)</f>
        <v>30</v>
      </c>
    </row>
    <row r="34" customFormat="false" ht="15" hidden="false" customHeight="false" outlineLevel="0" collapsed="false">
      <c r="A34" s="28" t="s">
        <v>687</v>
      </c>
      <c r="B34" s="28"/>
      <c r="C34" s="28"/>
      <c r="D34" s="29" t="n">
        <f aca="false">COUNTIF(F2:F31,"Editar")</f>
        <v>15</v>
      </c>
    </row>
    <row r="35" customFormat="false" ht="15" hidden="false" customHeight="false" outlineLevel="0" collapsed="false">
      <c r="A35" s="28" t="s">
        <v>680</v>
      </c>
      <c r="B35" s="28"/>
      <c r="C35" s="28"/>
      <c r="D35" s="29" t="n">
        <f aca="false">COUNTIF(F2:F31,"Fusionar")</f>
        <v>5</v>
      </c>
    </row>
    <row r="36" customFormat="false" ht="15" hidden="false" customHeight="false" outlineLevel="0" collapsed="false">
      <c r="A36" s="28" t="s">
        <v>764</v>
      </c>
      <c r="B36" s="28"/>
      <c r="C36" s="28"/>
      <c r="D36" s="29" t="n">
        <f aca="false">COUNTIF(F2:F31,"Reescribir")</f>
        <v>0</v>
      </c>
    </row>
    <row r="37" customFormat="false" ht="15" hidden="false" customHeight="false" outlineLevel="0" collapsed="false">
      <c r="A37" s="28" t="s">
        <v>765</v>
      </c>
      <c r="B37" s="28"/>
      <c r="C37" s="28"/>
      <c r="D37" s="29" t="n">
        <f aca="false">COUNTIF(F2:F31,"Escribir")</f>
        <v>10</v>
      </c>
    </row>
    <row r="38" customFormat="false" ht="15" hidden="false" customHeight="false" outlineLevel="0" collapsed="false">
      <c r="A38" s="28" t="s">
        <v>766</v>
      </c>
      <c r="B38" s="28"/>
      <c r="C38" s="28"/>
      <c r="D38" s="29" t="n">
        <f aca="false">COUNTA(H2:H31)-COUNTIF(H2:H31,"Por escribir")</f>
        <v>30</v>
      </c>
    </row>
    <row r="39" customFormat="false" ht="15" hidden="false" customHeight="false" outlineLevel="0" collapsed="false">
      <c r="A39" s="28" t="s">
        <v>767</v>
      </c>
      <c r="B39" s="28"/>
      <c r="C39" s="28"/>
      <c r="D39" s="29" t="n">
        <v>13</v>
      </c>
    </row>
    <row r="40" customFormat="false" ht="15" hidden="false" customHeight="false" outlineLevel="0" collapsed="false">
      <c r="A40" s="28" t="s">
        <v>768</v>
      </c>
      <c r="B40" s="28"/>
      <c r="C40" s="28"/>
      <c r="D40" s="29" t="n">
        <f aca="false">COUNTIF('Ajustes por historia'!I:I,"Sin destino")</f>
        <v>0</v>
      </c>
    </row>
    <row r="41" customFormat="false" ht="15" hidden="false" customHeight="false" outlineLevel="0" collapsed="false">
      <c r="A41" s="28" t="s">
        <v>769</v>
      </c>
      <c r="B41" s="28"/>
      <c r="C41" s="28"/>
      <c r="D41" s="29" t="n">
        <f aca="false">COUNTIF(Retroalimentación!F:F,"Sin destino")</f>
        <v>0</v>
      </c>
    </row>
  </sheetData>
  <mergeCells count="9">
    <mergeCell ref="A33:C33"/>
    <mergeCell ref="A34:C34"/>
    <mergeCell ref="A35:C35"/>
    <mergeCell ref="A36:C36"/>
    <mergeCell ref="A37:C37"/>
    <mergeCell ref="A38:C38"/>
    <mergeCell ref="A39:C39"/>
    <mergeCell ref="A40:C40"/>
    <mergeCell ref="A41:C41"/>
  </mergeCells>
  <dataValidations count="1">
    <dataValidation allowBlank="true" errorStyle="stop" operator="between" showDropDown="false" showErrorMessage="false" showInputMessage="false" sqref="H2:H51" type="list">
      <formula1>"Por escribir,Borrador,En revisión,Aprobada,En Trello"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3" activePane="bottomRight" state="frozen"/>
      <selection pane="topLeft" activeCell="A1" activeCellId="0" sqref="A1"/>
      <selection pane="topRight" activeCell="C1" activeCellId="0" sqref="C1"/>
      <selection pane="bottomLeft" activeCell="A23" activeCellId="0" sqref="A23"/>
      <selection pane="bottomRight" activeCell="E6" activeCellId="0" sqref="E6"/>
    </sheetView>
  </sheetViews>
  <sheetFormatPr defaultColWidth="8.71484375" defaultRowHeight="15" zeroHeight="false" outlineLevelRow="0" outlineLevelCol="0"/>
  <cols>
    <col collapsed="false" customWidth="true" hidden="false" outlineLevel="0" max="1" min="1" style="1" width="9"/>
    <col collapsed="false" customWidth="true" hidden="false" outlineLevel="0" max="2" min="2" style="1" width="30"/>
    <col collapsed="false" customWidth="true" hidden="false" outlineLevel="0" max="3" min="3" style="1" width="20"/>
    <col collapsed="false" customWidth="true" hidden="false" outlineLevel="0" max="4" min="4" style="1" width="18"/>
    <col collapsed="false" customWidth="true" hidden="false" outlineLevel="0" max="6" min="5" style="1" width="30"/>
    <col collapsed="false" customWidth="true" hidden="false" outlineLevel="0" max="7" min="7" style="1" width="36"/>
    <col collapsed="false" customWidth="true" hidden="false" outlineLevel="0" max="8" min="8" style="1" width="12"/>
    <col collapsed="false" customWidth="true" hidden="false" outlineLevel="0" max="10" min="9" style="1" width="11"/>
    <col collapsed="false" customWidth="true" hidden="false" outlineLevel="0" max="11" min="11" style="1" width="48"/>
    <col collapsed="false" customWidth="true" hidden="false" outlineLevel="0" max="12" min="12" style="1" width="30"/>
    <col collapsed="false" customWidth="true" hidden="false" outlineLevel="0" max="13" min="13" style="1" width="10"/>
    <col collapsed="false" customWidth="true" hidden="false" outlineLevel="0" max="14" min="14" style="1" width="28"/>
    <col collapsed="false" customWidth="true" hidden="false" outlineLevel="0" max="15" min="15" style="1" width="36"/>
    <col collapsed="false" customWidth="true" hidden="false" outlineLevel="0" max="16" min="16" style="1" width="22"/>
    <col collapsed="false" customWidth="true" hidden="false" outlineLevel="0" max="17" min="17" style="1" width="18"/>
    <col collapsed="false" customWidth="true" hidden="false" outlineLevel="0" max="18" min="18" style="1" width="13"/>
    <col collapsed="false" customWidth="true" hidden="false" outlineLevel="0" max="19" min="19" style="1" width="40"/>
    <col collapsed="false" customWidth="true" hidden="false" outlineLevel="0" max="20" min="20" style="1" width="16"/>
    <col collapsed="false" customWidth="true" hidden="false" outlineLevel="0" max="21" min="21" style="1" width="14"/>
    <col collapsed="false" customWidth="true" hidden="false" outlineLevel="0" max="22" min="22" style="1" width="13"/>
    <col collapsed="false" customWidth="true" hidden="false" outlineLevel="0" max="23" min="23" style="1" width="22"/>
    <col collapsed="false" customWidth="true" hidden="false" outlineLevel="0" max="24" min="24" style="1" width="24"/>
    <col collapsed="false" customWidth="true" hidden="false" outlineLevel="0" max="25" min="25" style="1" width="22"/>
    <col collapsed="false" customWidth="true" hidden="false" outlineLevel="0" max="26" min="26" style="1" width="28"/>
    <col collapsed="false" customWidth="true" hidden="false" outlineLevel="0" max="27" min="27" style="1" width="22"/>
    <col collapsed="false" customWidth="true" hidden="false" outlineLevel="0" max="28" min="28" style="1" width="13"/>
    <col collapsed="false" customWidth="true" hidden="false" outlineLevel="0" max="30" min="29" style="1" width="12"/>
    <col collapsed="false" customWidth="true" hidden="false" outlineLevel="0" max="31" min="31" style="1" width="40"/>
    <col collapsed="false" customWidth="true" hidden="false" outlineLevel="0" max="32" min="32" style="1" width="14"/>
    <col collapsed="false" customWidth="false" hidden="false" outlineLevel="0" max="16384" min="33" style="1" width="8.71"/>
  </cols>
  <sheetData>
    <row r="1" customFormat="false" ht="42" hidden="false" customHeight="true" outlineLevel="0" collapsed="false">
      <c r="A1" s="8" t="s">
        <v>667</v>
      </c>
      <c r="B1" s="8" t="s">
        <v>668</v>
      </c>
      <c r="C1" s="8" t="s">
        <v>770</v>
      </c>
      <c r="D1" s="8" t="s">
        <v>771</v>
      </c>
      <c r="E1" s="8" t="s">
        <v>772</v>
      </c>
      <c r="F1" s="8" t="s">
        <v>773</v>
      </c>
      <c r="G1" s="8" t="s">
        <v>774</v>
      </c>
      <c r="H1" s="8" t="s">
        <v>775</v>
      </c>
      <c r="I1" s="9" t="s">
        <v>776</v>
      </c>
      <c r="J1" s="8" t="s">
        <v>777</v>
      </c>
      <c r="K1" s="8" t="s">
        <v>778</v>
      </c>
      <c r="L1" s="8" t="s">
        <v>779</v>
      </c>
      <c r="M1" s="11" t="s">
        <v>780</v>
      </c>
      <c r="N1" s="8" t="s">
        <v>781</v>
      </c>
      <c r="O1" s="8" t="s">
        <v>782</v>
      </c>
      <c r="P1" s="8" t="s">
        <v>672</v>
      </c>
      <c r="Q1" s="11" t="s">
        <v>783</v>
      </c>
      <c r="R1" s="9" t="s">
        <v>784</v>
      </c>
      <c r="S1" s="9" t="s">
        <v>785</v>
      </c>
      <c r="T1" s="9" t="s">
        <v>786</v>
      </c>
      <c r="U1" s="10" t="s">
        <v>82</v>
      </c>
      <c r="V1" s="10" t="s">
        <v>83</v>
      </c>
      <c r="W1" s="11" t="s">
        <v>84</v>
      </c>
      <c r="X1" s="11" t="s">
        <v>85</v>
      </c>
      <c r="Y1" s="10" t="s">
        <v>86</v>
      </c>
      <c r="Z1" s="10" t="s">
        <v>87</v>
      </c>
      <c r="AA1" s="10" t="s">
        <v>88</v>
      </c>
      <c r="AB1" s="10" t="s">
        <v>89</v>
      </c>
      <c r="AC1" s="10" t="s">
        <v>90</v>
      </c>
      <c r="AD1" s="10" t="s">
        <v>91</v>
      </c>
      <c r="AE1" s="10" t="s">
        <v>787</v>
      </c>
      <c r="AF1" s="10" t="s">
        <v>788</v>
      </c>
    </row>
    <row r="2" customFormat="false" ht="48" hidden="false" customHeight="true" outlineLevel="0" collapsed="false">
      <c r="A2" s="12" t="s">
        <v>676</v>
      </c>
      <c r="B2" s="12" t="s">
        <v>789</v>
      </c>
      <c r="C2" s="12" t="s">
        <v>790</v>
      </c>
      <c r="D2" s="12" t="s">
        <v>791</v>
      </c>
      <c r="E2" s="12" t="s">
        <v>792</v>
      </c>
      <c r="F2" s="12" t="s">
        <v>793</v>
      </c>
      <c r="G2" s="12" t="s">
        <v>794</v>
      </c>
      <c r="H2" s="12" t="s">
        <v>795</v>
      </c>
      <c r="I2" s="13" t="n">
        <v>0</v>
      </c>
      <c r="J2" s="12" t="s">
        <v>796</v>
      </c>
      <c r="K2" s="12" t="s">
        <v>797</v>
      </c>
      <c r="L2" s="12" t="s">
        <v>798</v>
      </c>
      <c r="M2" s="31" t="n">
        <f aca="false">COUNTIF(Escenarios!$A:$A,A2)</f>
        <v>10</v>
      </c>
      <c r="N2" s="12" t="s">
        <v>799</v>
      </c>
      <c r="O2" s="12" t="s">
        <v>800</v>
      </c>
      <c r="P2" s="12" t="s">
        <v>801</v>
      </c>
      <c r="Q2" s="31" t="str">
        <f aca="false">IF(COUNTIF(Retroalimentación!$A:$A,A2)&gt;0,"Sí: "&amp;COUNTIF(Retroalimentación!$A:$A,A2)&amp;" textos","No")</f>
        <v>Sí: 3 textos</v>
      </c>
      <c r="R2" s="13" t="s">
        <v>802</v>
      </c>
      <c r="S2" s="13" t="s">
        <v>803</v>
      </c>
      <c r="T2" s="13" t="s">
        <v>804</v>
      </c>
      <c r="U2" s="13" t="s">
        <v>109</v>
      </c>
      <c r="V2" s="13" t="s">
        <v>110</v>
      </c>
      <c r="W2" s="14" t="str">
        <f aca="false">IF(OR(V2="",V2="Libre"),"Disponible",IF(V2="Bloqueado","Bloqueada: "&amp;IF(AA2="","falta motivo",AA2),IF(OR(V2="Aprobado",V2="En Trello"),"Cerrada",IF(V2="En revisión","En revisión: "&amp;IF(AB2="","falta revisor",AB2),IF(V2="Analizado","Lista para revisar: analizó "&amp;IF(U2="","falta responsable",U2),IF(U2="","Falta responsable","Ocupada por "&amp;U2))))))</f>
        <v>Lista para revisar: analizó Juan Fernando</v>
      </c>
      <c r="X2" s="14" t="str">
        <f aca="false">IF(AND(AB2&lt;&gt;"",AB2=U2),"El revisor no puede ser el responsable",IF(AND(OR(V2="Analizado",V2="En revisión",V2="Aprobado"),Y2=""),"Falta la fuente del análisis",IF(AND(OR(V2="Aprobado",V2="En Trello"),AB2=""),"Aprobado sin revisor","")))</f>
        <v/>
      </c>
      <c r="Y2" s="13" t="s">
        <v>111</v>
      </c>
      <c r="Z2" s="13" t="s">
        <v>805</v>
      </c>
      <c r="AA2" s="13"/>
      <c r="AB2" s="13"/>
      <c r="AC2" s="15" t="n">
        <v>46315</v>
      </c>
      <c r="AD2" s="15"/>
      <c r="AE2" s="13"/>
      <c r="AF2" s="13"/>
    </row>
    <row r="3" customFormat="false" ht="48" hidden="false" customHeight="true" outlineLevel="0" collapsed="false">
      <c r="A3" s="12" t="s">
        <v>806</v>
      </c>
      <c r="B3" s="12" t="s">
        <v>807</v>
      </c>
      <c r="C3" s="12" t="s">
        <v>790</v>
      </c>
      <c r="D3" s="12" t="s">
        <v>808</v>
      </c>
      <c r="E3" s="12" t="s">
        <v>809</v>
      </c>
      <c r="F3" s="12" t="s">
        <v>810</v>
      </c>
      <c r="G3" s="12" t="s">
        <v>811</v>
      </c>
      <c r="H3" s="12" t="s">
        <v>795</v>
      </c>
      <c r="I3" s="13" t="n">
        <v>0</v>
      </c>
      <c r="J3" s="12" t="s">
        <v>796</v>
      </c>
      <c r="K3" s="12" t="s">
        <v>797</v>
      </c>
      <c r="L3" s="12" t="s">
        <v>812</v>
      </c>
      <c r="M3" s="31" t="n">
        <f aca="false">COUNTIF(Escenarios!$A:$A,A3)</f>
        <v>10</v>
      </c>
      <c r="N3" s="12" t="s">
        <v>813</v>
      </c>
      <c r="O3" s="12" t="s">
        <v>814</v>
      </c>
      <c r="P3" s="12" t="s">
        <v>801</v>
      </c>
      <c r="Q3" s="31" t="str">
        <f aca="false">IF(COUNTIF(Retroalimentación!$A:$A,A3)&gt;0,"Sí: "&amp;COUNTIF(Retroalimentación!$A:$A,A3)&amp;" textos","No")</f>
        <v>Sí: 2 textos</v>
      </c>
      <c r="R3" s="13" t="s">
        <v>802</v>
      </c>
      <c r="S3" s="13" t="s">
        <v>815</v>
      </c>
      <c r="T3" s="13" t="s">
        <v>804</v>
      </c>
      <c r="U3" s="13" t="s">
        <v>109</v>
      </c>
      <c r="V3" s="13" t="s">
        <v>110</v>
      </c>
      <c r="W3" s="14" t="str">
        <f aca="false">IF(OR(V3="",V3="Libre"),"Disponible",IF(V3="Bloqueado","Bloqueada: "&amp;IF(AA3="","falta motivo",AA3),IF(OR(V3="Aprobado",V3="En Trello"),"Cerrada",IF(V3="En revisión","En revisión: "&amp;IF(AB3="","falta revisor",AB3),IF(V3="Analizado","Lista para revisar: analizó "&amp;IF(U3="","falta responsable",U3),IF(U3="","Falta responsable","Ocupada por "&amp;U3))))))</f>
        <v>Lista para revisar: analizó Juan Fernando</v>
      </c>
      <c r="X3" s="14" t="str">
        <f aca="false">IF(AND(AB3&lt;&gt;"",AB3=U3),"El revisor no puede ser el responsable",IF(AND(OR(V3="Analizado",V3="En revisión",V3="Aprobado"),Y3=""),"Falta la fuente del análisis",IF(AND(OR(V3="Aprobado",V3="En Trello"),AB3=""),"Aprobado sin revisor","")))</f>
        <v/>
      </c>
      <c r="Y3" s="13" t="s">
        <v>111</v>
      </c>
      <c r="Z3" s="13" t="s">
        <v>805</v>
      </c>
      <c r="AA3" s="13"/>
      <c r="AB3" s="13"/>
      <c r="AC3" s="15" t="n">
        <v>46315</v>
      </c>
      <c r="AD3" s="15"/>
      <c r="AE3" s="13"/>
      <c r="AF3" s="13"/>
    </row>
    <row r="4" customFormat="false" ht="48" hidden="false" customHeight="true" outlineLevel="0" collapsed="false">
      <c r="A4" s="12" t="s">
        <v>816</v>
      </c>
      <c r="B4" s="12" t="s">
        <v>817</v>
      </c>
      <c r="C4" s="12" t="s">
        <v>790</v>
      </c>
      <c r="D4" s="12" t="s">
        <v>818</v>
      </c>
      <c r="E4" s="12" t="s">
        <v>819</v>
      </c>
      <c r="F4" s="12" t="s">
        <v>820</v>
      </c>
      <c r="G4" s="12" t="s">
        <v>821</v>
      </c>
      <c r="H4" s="12" t="s">
        <v>795</v>
      </c>
      <c r="I4" s="13" t="n">
        <v>0</v>
      </c>
      <c r="J4" s="12" t="s">
        <v>796</v>
      </c>
      <c r="K4" s="12" t="s">
        <v>822</v>
      </c>
      <c r="L4" s="12" t="s">
        <v>823</v>
      </c>
      <c r="M4" s="31" t="n">
        <f aca="false">COUNTIF(Escenarios!$A:$A,A4)</f>
        <v>10</v>
      </c>
      <c r="N4" s="12" t="s">
        <v>824</v>
      </c>
      <c r="O4" s="12" t="s">
        <v>825</v>
      </c>
      <c r="P4" s="12" t="s">
        <v>801</v>
      </c>
      <c r="Q4" s="31" t="str">
        <f aca="false">IF(COUNTIF(Retroalimentación!$A:$A,A4)&gt;0,"Sí: "&amp;COUNTIF(Retroalimentación!$A:$A,A4)&amp;" textos","No")</f>
        <v>Sí: 2 textos</v>
      </c>
      <c r="R4" s="13" t="s">
        <v>802</v>
      </c>
      <c r="S4" s="13" t="s">
        <v>826</v>
      </c>
      <c r="T4" s="13" t="s">
        <v>804</v>
      </c>
      <c r="U4" s="13" t="s">
        <v>109</v>
      </c>
      <c r="V4" s="13" t="s">
        <v>110</v>
      </c>
      <c r="W4" s="14" t="str">
        <f aca="false">IF(OR(V4="",V4="Libre"),"Disponible",IF(V4="Bloqueado","Bloqueada: "&amp;IF(AA4="","falta motivo",AA4),IF(OR(V4="Aprobado",V4="En Trello"),"Cerrada",IF(V4="En revisión","En revisión: "&amp;IF(AB4="","falta revisor",AB4),IF(V4="Analizado","Lista para revisar: analizó "&amp;IF(U4="","falta responsable",U4),IF(U4="","Falta responsable","Ocupada por "&amp;U4))))))</f>
        <v>Lista para revisar: analizó Juan Fernando</v>
      </c>
      <c r="X4" s="14" t="str">
        <f aca="false">IF(AND(AB4&lt;&gt;"",AB4=U4),"El revisor no puede ser el responsable",IF(AND(OR(V4="Analizado",V4="En revisión",V4="Aprobado"),Y4=""),"Falta la fuente del análisis",IF(AND(OR(V4="Aprobado",V4="En Trello"),AB4=""),"Aprobado sin revisor","")))</f>
        <v/>
      </c>
      <c r="Y4" s="13" t="s">
        <v>111</v>
      </c>
      <c r="Z4" s="13" t="s">
        <v>805</v>
      </c>
      <c r="AA4" s="13"/>
      <c r="AB4" s="13"/>
      <c r="AC4" s="15" t="n">
        <v>46315</v>
      </c>
      <c r="AD4" s="15"/>
      <c r="AE4" s="13"/>
      <c r="AF4" s="13"/>
    </row>
    <row r="5" customFormat="false" ht="202.5" hidden="false" customHeight="true" outlineLevel="0" collapsed="false">
      <c r="A5" s="12" t="s">
        <v>684</v>
      </c>
      <c r="B5" s="12" t="s">
        <v>685</v>
      </c>
      <c r="C5" s="12" t="s">
        <v>686</v>
      </c>
      <c r="D5" s="12" t="s">
        <v>791</v>
      </c>
      <c r="E5" s="12" t="s">
        <v>827</v>
      </c>
      <c r="F5" s="12" t="s">
        <v>828</v>
      </c>
      <c r="G5" s="12" t="s">
        <v>829</v>
      </c>
      <c r="H5" s="12" t="s">
        <v>795</v>
      </c>
      <c r="I5" s="13" t="n">
        <v>0</v>
      </c>
      <c r="J5" s="12" t="s">
        <v>676</v>
      </c>
      <c r="K5" s="12" t="s">
        <v>830</v>
      </c>
      <c r="L5" s="12" t="s">
        <v>831</v>
      </c>
      <c r="M5" s="31" t="n">
        <f aca="false">COUNTIF(Escenarios!$A:$A,A5)</f>
        <v>12</v>
      </c>
      <c r="N5" s="12" t="s">
        <v>832</v>
      </c>
      <c r="O5" s="12" t="s">
        <v>833</v>
      </c>
      <c r="P5" s="12" t="s">
        <v>801</v>
      </c>
      <c r="Q5" s="31" t="str">
        <f aca="false">IF(COUNTIF(Retroalimentación!$A:$A,A5)&gt;0,"Sí: "&amp;COUNTIF(Retroalimentación!$A:$A,A5)&amp;" textos","No")</f>
        <v>Sí: 2 textos</v>
      </c>
      <c r="R5" s="13" t="s">
        <v>802</v>
      </c>
      <c r="S5" s="13" t="s">
        <v>834</v>
      </c>
      <c r="T5" s="13" t="s">
        <v>835</v>
      </c>
      <c r="U5" s="13" t="s">
        <v>109</v>
      </c>
      <c r="V5" s="13" t="s">
        <v>110</v>
      </c>
      <c r="W5" s="14" t="str">
        <f aca="false">IF(OR(V5="",V5="Libre"),"Disponible",IF(V5="Bloqueado","Bloqueada: "&amp;IF(AA5="","falta motivo",AA5),IF(OR(V5="Aprobado",V5="En Trello"),"Cerrada",IF(V5="En revisión","En revisión: "&amp;IF(AB5="","falta revisor",AB5),IF(V5="Analizado","Lista para revisar: analizó "&amp;IF(U5="","falta responsable",U5),IF(U5="","Falta responsable","Ocupada por "&amp;U5))))))</f>
        <v>Lista para revisar: analizó Juan Fernando</v>
      </c>
      <c r="X5" s="14" t="str">
        <f aca="false">IF(AND(AB5&lt;&gt;"",AB5=U5),"El revisor no puede ser el responsable",IF(AND(OR(V5="Analizado",V5="En revisión",V5="Aprobado"),Y5=""),"Falta la fuente del análisis",IF(AND(OR(V5="Aprobado",V5="En Trello"),AB5=""),"Aprobado sin revisor","")))</f>
        <v/>
      </c>
      <c r="Y5" s="13" t="s">
        <v>111</v>
      </c>
      <c r="Z5" s="13" t="s">
        <v>805</v>
      </c>
      <c r="AA5" s="13"/>
      <c r="AB5" s="13"/>
      <c r="AC5" s="15" t="n">
        <v>46315</v>
      </c>
      <c r="AD5" s="15"/>
      <c r="AE5" s="13"/>
      <c r="AF5" s="13"/>
    </row>
    <row r="6" customFormat="false" ht="48" hidden="false" customHeight="true" outlineLevel="0" collapsed="false">
      <c r="A6" s="12" t="s">
        <v>688</v>
      </c>
      <c r="B6" s="12" t="s">
        <v>689</v>
      </c>
      <c r="C6" s="12" t="s">
        <v>686</v>
      </c>
      <c r="D6" s="12" t="s">
        <v>791</v>
      </c>
      <c r="E6" s="12" t="s">
        <v>836</v>
      </c>
      <c r="F6" s="12" t="s">
        <v>837</v>
      </c>
      <c r="G6" s="12" t="s">
        <v>838</v>
      </c>
      <c r="H6" s="12" t="s">
        <v>795</v>
      </c>
      <c r="I6" s="13" t="n">
        <v>0</v>
      </c>
      <c r="J6" s="12" t="s">
        <v>684</v>
      </c>
      <c r="K6" s="12" t="s">
        <v>839</v>
      </c>
      <c r="L6" s="12" t="s">
        <v>840</v>
      </c>
      <c r="M6" s="31" t="n">
        <f aca="false">COUNTIF(Escenarios!$A:$A,A6)</f>
        <v>10</v>
      </c>
      <c r="N6" s="12" t="s">
        <v>841</v>
      </c>
      <c r="O6" s="12" t="s">
        <v>842</v>
      </c>
      <c r="P6" s="12" t="s">
        <v>801</v>
      </c>
      <c r="Q6" s="31" t="str">
        <f aca="false">IF(COUNTIF(Retroalimentación!$A:$A,A6)&gt;0,"Sí: "&amp;COUNTIF(Retroalimentación!$A:$A,A6)&amp;" textos","No")</f>
        <v>Sí: 2 textos</v>
      </c>
      <c r="R6" s="13" t="s">
        <v>802</v>
      </c>
      <c r="S6" s="13" t="s">
        <v>843</v>
      </c>
      <c r="T6" s="13" t="s">
        <v>835</v>
      </c>
      <c r="U6" s="13" t="s">
        <v>109</v>
      </c>
      <c r="V6" s="13" t="s">
        <v>110</v>
      </c>
      <c r="W6" s="14" t="str">
        <f aca="false">IF(OR(V6="",V6="Libre"),"Disponible",IF(V6="Bloqueado","Bloqueada: "&amp;IF(AA6="","falta motivo",AA6),IF(OR(V6="Aprobado",V6="En Trello"),"Cerrada",IF(V6="En revisión","En revisión: "&amp;IF(AB6="","falta revisor",AB6),IF(V6="Analizado","Lista para revisar: analizó "&amp;IF(U6="","falta responsable",U6),IF(U6="","Falta responsable","Ocupada por "&amp;U6))))))</f>
        <v>Lista para revisar: analizó Juan Fernando</v>
      </c>
      <c r="X6" s="14" t="str">
        <f aca="false">IF(AND(AB6&lt;&gt;"",AB6=U6),"El revisor no puede ser el responsable",IF(AND(OR(V6="Analizado",V6="En revisión",V6="Aprobado"),Y6=""),"Falta la fuente del análisis",IF(AND(OR(V6="Aprobado",V6="En Trello"),AB6=""),"Aprobado sin revisor","")))</f>
        <v/>
      </c>
      <c r="Y6" s="13" t="s">
        <v>111</v>
      </c>
      <c r="Z6" s="13" t="s">
        <v>805</v>
      </c>
      <c r="AA6" s="13"/>
      <c r="AB6" s="13"/>
      <c r="AC6" s="15" t="n">
        <v>46315</v>
      </c>
      <c r="AD6" s="15"/>
      <c r="AE6" s="13"/>
      <c r="AF6" s="13"/>
    </row>
    <row r="7" customFormat="false" ht="96" hidden="false" customHeight="true" outlineLevel="0" collapsed="false">
      <c r="A7" s="12" t="s">
        <v>690</v>
      </c>
      <c r="B7" s="12" t="s">
        <v>844</v>
      </c>
      <c r="C7" s="12" t="s">
        <v>686</v>
      </c>
      <c r="D7" s="12" t="s">
        <v>791</v>
      </c>
      <c r="E7" s="12" t="s">
        <v>845</v>
      </c>
      <c r="F7" s="12" t="s">
        <v>846</v>
      </c>
      <c r="G7" s="12" t="s">
        <v>847</v>
      </c>
      <c r="H7" s="12" t="s">
        <v>795</v>
      </c>
      <c r="I7" s="13" t="n">
        <v>0</v>
      </c>
      <c r="J7" s="12" t="s">
        <v>684</v>
      </c>
      <c r="K7" s="12" t="s">
        <v>848</v>
      </c>
      <c r="L7" s="12" t="s">
        <v>840</v>
      </c>
      <c r="M7" s="31" t="n">
        <f aca="false">COUNTIF(Escenarios!$A:$A,A7)</f>
        <v>10</v>
      </c>
      <c r="N7" s="12" t="s">
        <v>841</v>
      </c>
      <c r="O7" s="12" t="s">
        <v>849</v>
      </c>
      <c r="P7" s="12" t="s">
        <v>801</v>
      </c>
      <c r="Q7" s="31" t="str">
        <f aca="false">IF(COUNTIF(Retroalimentación!$A:$A,A7)&gt;0,"Sí: "&amp;COUNTIF(Retroalimentación!$A:$A,A7)&amp;" textos","No")</f>
        <v>Sí: 2 textos</v>
      </c>
      <c r="R7" s="13" t="s">
        <v>802</v>
      </c>
      <c r="S7" s="13" t="s">
        <v>850</v>
      </c>
      <c r="T7" s="13" t="s">
        <v>835</v>
      </c>
      <c r="U7" s="13" t="s">
        <v>109</v>
      </c>
      <c r="V7" s="13" t="s">
        <v>110</v>
      </c>
      <c r="W7" s="14" t="str">
        <f aca="false">IF(OR(V7="",V7="Libre"),"Disponible",IF(V7="Bloqueado","Bloqueada: "&amp;IF(AA7="","falta motivo",AA7),IF(OR(V7="Aprobado",V7="En Trello"),"Cerrada",IF(V7="En revisión","En revisión: "&amp;IF(AB7="","falta revisor",AB7),IF(V7="Analizado","Lista para revisar: analizó "&amp;IF(U7="","falta responsable",U7),IF(U7="","Falta responsable","Ocupada por "&amp;U7))))))</f>
        <v>Lista para revisar: analizó Juan Fernando</v>
      </c>
      <c r="X7" s="14" t="str">
        <f aca="false">IF(AND(AB7&lt;&gt;"",AB7=U7),"El revisor no puede ser el responsable",IF(AND(OR(V7="Analizado",V7="En revisión",V7="Aprobado"),Y7=""),"Falta la fuente del análisis",IF(AND(OR(V7="Aprobado",V7="En Trello"),AB7=""),"Aprobado sin revisor","")))</f>
        <v/>
      </c>
      <c r="Y7" s="13" t="s">
        <v>111</v>
      </c>
      <c r="Z7" s="13" t="s">
        <v>805</v>
      </c>
      <c r="AA7" s="13"/>
      <c r="AB7" s="13"/>
      <c r="AC7" s="15" t="n">
        <v>46315</v>
      </c>
      <c r="AD7" s="15"/>
      <c r="AE7" s="13"/>
      <c r="AF7" s="13"/>
    </row>
    <row r="8" customFormat="false" ht="142.5" hidden="false" customHeight="true" outlineLevel="0" collapsed="false">
      <c r="A8" s="12" t="s">
        <v>692</v>
      </c>
      <c r="B8" s="12" t="s">
        <v>693</v>
      </c>
      <c r="C8" s="12" t="s">
        <v>694</v>
      </c>
      <c r="D8" s="12" t="s">
        <v>808</v>
      </c>
      <c r="E8" s="12" t="s">
        <v>851</v>
      </c>
      <c r="F8" s="12" t="s">
        <v>852</v>
      </c>
      <c r="G8" s="12" t="s">
        <v>853</v>
      </c>
      <c r="H8" s="12" t="s">
        <v>795</v>
      </c>
      <c r="I8" s="13" t="n">
        <v>0</v>
      </c>
      <c r="J8" s="12" t="s">
        <v>684</v>
      </c>
      <c r="K8" s="12" t="s">
        <v>854</v>
      </c>
      <c r="L8" s="12" t="s">
        <v>855</v>
      </c>
      <c r="M8" s="31" t="n">
        <f aca="false">COUNTIF(Escenarios!$A:$A,A8)</f>
        <v>11</v>
      </c>
      <c r="N8" s="12" t="s">
        <v>856</v>
      </c>
      <c r="O8" s="12" t="s">
        <v>857</v>
      </c>
      <c r="P8" s="12" t="s">
        <v>858</v>
      </c>
      <c r="Q8" s="31" t="str">
        <f aca="false">IF(COUNTIF(Retroalimentación!$A:$A,A8)&gt;0,"Sí: "&amp;COUNTIF(Retroalimentación!$A:$A,A8)&amp;" textos","No")</f>
        <v>Sí: 2 textos</v>
      </c>
      <c r="R8" s="13" t="s">
        <v>802</v>
      </c>
      <c r="S8" s="13" t="s">
        <v>859</v>
      </c>
      <c r="T8" s="13" t="s">
        <v>860</v>
      </c>
      <c r="U8" s="13" t="s">
        <v>109</v>
      </c>
      <c r="V8" s="13" t="s">
        <v>110</v>
      </c>
      <c r="W8" s="14" t="str">
        <f aca="false">IF(OR(V8="",V8="Libre"),"Disponible",IF(V8="Bloqueado","Bloqueada: "&amp;IF(AA8="","falta motivo",AA8),IF(OR(V8="Aprobado",V8="En Trello"),"Cerrada",IF(V8="En revisión","En revisión: "&amp;IF(AB8="","falta revisor",AB8),IF(V8="Analizado","Lista para revisar: analizó "&amp;IF(U8="","falta responsable",U8),IF(U8="","Falta responsable","Ocupada por "&amp;U8))))))</f>
        <v>Lista para revisar: analizó Juan Fernando</v>
      </c>
      <c r="X8" s="14" t="str">
        <f aca="false">IF(AND(AB8&lt;&gt;"",AB8=U8),"El revisor no puede ser el responsable",IF(AND(OR(V8="Analizado",V8="En revisión",V8="Aprobado"),Y8=""),"Falta la fuente del análisis",IF(AND(OR(V8="Aprobado",V8="En Trello"),AB8=""),"Aprobado sin revisor","")))</f>
        <v/>
      </c>
      <c r="Y8" s="13" t="s">
        <v>111</v>
      </c>
      <c r="Z8" s="13" t="s">
        <v>805</v>
      </c>
      <c r="AA8" s="13"/>
      <c r="AB8" s="13"/>
      <c r="AC8" s="15" t="n">
        <v>46315</v>
      </c>
      <c r="AD8" s="15"/>
      <c r="AE8" s="13"/>
      <c r="AF8" s="13"/>
    </row>
    <row r="9" customFormat="false" ht="48" hidden="false" customHeight="true" outlineLevel="0" collapsed="false">
      <c r="A9" s="12" t="s">
        <v>697</v>
      </c>
      <c r="B9" s="12" t="s">
        <v>698</v>
      </c>
      <c r="C9" s="12" t="s">
        <v>694</v>
      </c>
      <c r="D9" s="12" t="s">
        <v>808</v>
      </c>
      <c r="E9" s="12" t="s">
        <v>861</v>
      </c>
      <c r="F9" s="12" t="s">
        <v>862</v>
      </c>
      <c r="G9" s="12" t="s">
        <v>863</v>
      </c>
      <c r="H9" s="12" t="s">
        <v>795</v>
      </c>
      <c r="I9" s="13" t="n">
        <v>0</v>
      </c>
      <c r="J9" s="12" t="s">
        <v>692</v>
      </c>
      <c r="K9" s="12" t="s">
        <v>864</v>
      </c>
      <c r="L9" s="12" t="s">
        <v>865</v>
      </c>
      <c r="M9" s="31" t="n">
        <f aca="false">COUNTIF(Escenarios!$A:$A,A9)</f>
        <v>10</v>
      </c>
      <c r="N9" s="12" t="s">
        <v>866</v>
      </c>
      <c r="O9" s="12" t="s">
        <v>849</v>
      </c>
      <c r="P9" s="12" t="s">
        <v>858</v>
      </c>
      <c r="Q9" s="31" t="str">
        <f aca="false">IF(COUNTIF(Retroalimentación!$A:$A,A9)&gt;0,"Sí: "&amp;COUNTIF(Retroalimentación!$A:$A,A9)&amp;" textos","No")</f>
        <v>Sí: 2 textos</v>
      </c>
      <c r="R9" s="13" t="s">
        <v>802</v>
      </c>
      <c r="S9" s="13" t="s">
        <v>867</v>
      </c>
      <c r="T9" s="13" t="s">
        <v>860</v>
      </c>
      <c r="U9" s="13" t="s">
        <v>109</v>
      </c>
      <c r="V9" s="13" t="s">
        <v>110</v>
      </c>
      <c r="W9" s="14" t="str">
        <f aca="false">IF(OR(V9="",V9="Libre"),"Disponible",IF(V9="Bloqueado","Bloqueada: "&amp;IF(AA9="","falta motivo",AA9),IF(OR(V9="Aprobado",V9="En Trello"),"Cerrada",IF(V9="En revisión","En revisión: "&amp;IF(AB9="","falta revisor",AB9),IF(V9="Analizado","Lista para revisar: analizó "&amp;IF(U9="","falta responsable",U9),IF(U9="","Falta responsable","Ocupada por "&amp;U9))))))</f>
        <v>Lista para revisar: analizó Juan Fernando</v>
      </c>
      <c r="X9" s="14" t="str">
        <f aca="false">IF(AND(AB9&lt;&gt;"",AB9=U9),"El revisor no puede ser el responsable",IF(AND(OR(V9="Analizado",V9="En revisión",V9="Aprobado"),Y9=""),"Falta la fuente del análisis",IF(AND(OR(V9="Aprobado",V9="En Trello"),AB9=""),"Aprobado sin revisor","")))</f>
        <v/>
      </c>
      <c r="Y9" s="13" t="s">
        <v>111</v>
      </c>
      <c r="Z9" s="13" t="s">
        <v>805</v>
      </c>
      <c r="AA9" s="13"/>
      <c r="AB9" s="13"/>
      <c r="AC9" s="15" t="n">
        <v>46315</v>
      </c>
      <c r="AD9" s="15"/>
      <c r="AE9" s="13"/>
      <c r="AF9" s="13"/>
    </row>
    <row r="10" customFormat="false" ht="96" hidden="false" customHeight="true" outlineLevel="0" collapsed="false">
      <c r="A10" s="12" t="s">
        <v>699</v>
      </c>
      <c r="B10" s="12" t="s">
        <v>700</v>
      </c>
      <c r="C10" s="12" t="s">
        <v>694</v>
      </c>
      <c r="D10" s="12" t="s">
        <v>808</v>
      </c>
      <c r="E10" s="12" t="s">
        <v>868</v>
      </c>
      <c r="F10" s="12" t="s">
        <v>869</v>
      </c>
      <c r="G10" s="12" t="s">
        <v>870</v>
      </c>
      <c r="H10" s="12" t="s">
        <v>795</v>
      </c>
      <c r="I10" s="13" t="n">
        <v>0</v>
      </c>
      <c r="J10" s="12" t="s">
        <v>692</v>
      </c>
      <c r="K10" s="12" t="s">
        <v>871</v>
      </c>
      <c r="L10" s="12" t="s">
        <v>872</v>
      </c>
      <c r="M10" s="31" t="n">
        <f aca="false">COUNTIF(Escenarios!$A:$A,A10)</f>
        <v>10</v>
      </c>
      <c r="N10" s="12" t="s">
        <v>866</v>
      </c>
      <c r="O10" s="12" t="s">
        <v>849</v>
      </c>
      <c r="P10" s="12" t="s">
        <v>858</v>
      </c>
      <c r="Q10" s="31" t="str">
        <f aca="false">IF(COUNTIF(Retroalimentación!$A:$A,A10)&gt;0,"Sí: "&amp;COUNTIF(Retroalimentación!$A:$A,A10)&amp;" textos","No")</f>
        <v>Sí: 2 textos</v>
      </c>
      <c r="R10" s="13" t="s">
        <v>802</v>
      </c>
      <c r="S10" s="13" t="s">
        <v>873</v>
      </c>
      <c r="T10" s="13" t="s">
        <v>860</v>
      </c>
      <c r="U10" s="13" t="s">
        <v>109</v>
      </c>
      <c r="V10" s="13" t="s">
        <v>110</v>
      </c>
      <c r="W10" s="14" t="str">
        <f aca="false">IF(OR(V10="",V10="Libre"),"Disponible",IF(V10="Bloqueado","Bloqueada: "&amp;IF(AA10="","falta motivo",AA10),IF(OR(V10="Aprobado",V10="En Trello"),"Cerrada",IF(V10="En revisión","En revisión: "&amp;IF(AB10="","falta revisor",AB10),IF(V10="Analizado","Lista para revisar: analizó "&amp;IF(U10="","falta responsable",U10),IF(U10="","Falta responsable","Ocupada por "&amp;U10))))))</f>
        <v>Lista para revisar: analizó Juan Fernando</v>
      </c>
      <c r="X10" s="14" t="str">
        <f aca="false">IF(AND(AB10&lt;&gt;"",AB10=U10),"El revisor no puede ser el responsable",IF(AND(OR(V10="Analizado",V10="En revisión",V10="Aprobado"),Y10=""),"Falta la fuente del análisis",IF(AND(OR(V10="Aprobado",V10="En Trello"),AB10=""),"Aprobado sin revisor","")))</f>
        <v/>
      </c>
      <c r="Y10" s="13" t="s">
        <v>111</v>
      </c>
      <c r="Z10" s="13" t="s">
        <v>805</v>
      </c>
      <c r="AA10" s="13"/>
      <c r="AB10" s="13"/>
      <c r="AC10" s="15" t="n">
        <v>46315</v>
      </c>
      <c r="AD10" s="15"/>
      <c r="AE10" s="13"/>
      <c r="AF10" s="13"/>
    </row>
    <row r="11" customFormat="false" ht="48" hidden="false" customHeight="true" outlineLevel="0" collapsed="false">
      <c r="A11" s="12" t="s">
        <v>705</v>
      </c>
      <c r="B11" s="12" t="s">
        <v>706</v>
      </c>
      <c r="C11" s="12" t="s">
        <v>707</v>
      </c>
      <c r="D11" s="12" t="s">
        <v>791</v>
      </c>
      <c r="E11" s="12" t="s">
        <v>874</v>
      </c>
      <c r="F11" s="12" t="s">
        <v>875</v>
      </c>
      <c r="G11" s="12" t="s">
        <v>876</v>
      </c>
      <c r="H11" s="12" t="s">
        <v>795</v>
      </c>
      <c r="I11" s="13" t="n">
        <v>0</v>
      </c>
      <c r="J11" s="12" t="s">
        <v>684</v>
      </c>
      <c r="K11" s="12" t="s">
        <v>877</v>
      </c>
      <c r="L11" s="12" t="s">
        <v>840</v>
      </c>
      <c r="M11" s="31" t="n">
        <f aca="false">COUNTIF(Escenarios!$A:$A,A11)</f>
        <v>10</v>
      </c>
      <c r="N11" s="12" t="s">
        <v>878</v>
      </c>
      <c r="O11" s="12" t="s">
        <v>879</v>
      </c>
      <c r="P11" s="12" t="s">
        <v>880</v>
      </c>
      <c r="Q11" s="31" t="str">
        <f aca="false">IF(COUNTIF(Retroalimentación!$A:$A,A11)&gt;0,"Sí: "&amp;COUNTIF(Retroalimentación!$A:$A,A11)&amp;" textos","No")</f>
        <v>Sí: 2 textos</v>
      </c>
      <c r="R11" s="13" t="s">
        <v>802</v>
      </c>
      <c r="S11" s="13" t="s">
        <v>881</v>
      </c>
      <c r="T11" s="13" t="s">
        <v>178</v>
      </c>
      <c r="U11" s="13" t="s">
        <v>109</v>
      </c>
      <c r="V11" s="13" t="s">
        <v>110</v>
      </c>
      <c r="W11" s="14" t="str">
        <f aca="false">IF(OR(V11="",V11="Libre"),"Disponible",IF(V11="Bloqueado","Bloqueada: "&amp;IF(AA11="","falta motivo",AA11),IF(OR(V11="Aprobado",V11="En Trello"),"Cerrada",IF(V11="En revisión","En revisión: "&amp;IF(AB11="","falta revisor",AB11),IF(V11="Analizado","Lista para revisar: analizó "&amp;IF(U11="","falta responsable",U11),IF(U11="","Falta responsable","Ocupada por "&amp;U11))))))</f>
        <v>Lista para revisar: analizó Juan Fernando</v>
      </c>
      <c r="X11" s="14" t="str">
        <f aca="false">IF(AND(AB11&lt;&gt;"",AB11=U11),"El revisor no puede ser el responsable",IF(AND(OR(V11="Analizado",V11="En revisión",V11="Aprobado"),Y11=""),"Falta la fuente del análisis",IF(AND(OR(V11="Aprobado",V11="En Trello"),AB11=""),"Aprobado sin revisor","")))</f>
        <v/>
      </c>
      <c r="Y11" s="13" t="s">
        <v>111</v>
      </c>
      <c r="Z11" s="13" t="s">
        <v>805</v>
      </c>
      <c r="AA11" s="13"/>
      <c r="AB11" s="13"/>
      <c r="AC11" s="15" t="n">
        <v>46315</v>
      </c>
      <c r="AD11" s="15"/>
      <c r="AE11" s="13"/>
      <c r="AF11" s="13"/>
    </row>
    <row r="12" customFormat="false" ht="48" hidden="false" customHeight="true" outlineLevel="0" collapsed="false">
      <c r="A12" s="12" t="s">
        <v>710</v>
      </c>
      <c r="B12" s="12" t="s">
        <v>711</v>
      </c>
      <c r="C12" s="12" t="s">
        <v>707</v>
      </c>
      <c r="D12" s="12" t="s">
        <v>791</v>
      </c>
      <c r="E12" s="12" t="s">
        <v>882</v>
      </c>
      <c r="F12" s="12" t="s">
        <v>883</v>
      </c>
      <c r="G12" s="12" t="s">
        <v>884</v>
      </c>
      <c r="H12" s="12" t="s">
        <v>795</v>
      </c>
      <c r="I12" s="13" t="n">
        <v>0</v>
      </c>
      <c r="J12" s="12" t="s">
        <v>705</v>
      </c>
      <c r="K12" s="12" t="s">
        <v>885</v>
      </c>
      <c r="L12" s="12" t="s">
        <v>840</v>
      </c>
      <c r="M12" s="31" t="n">
        <f aca="false">COUNTIF(Escenarios!$A:$A,A12)</f>
        <v>10</v>
      </c>
      <c r="N12" s="12" t="s">
        <v>886</v>
      </c>
      <c r="O12" s="12" t="s">
        <v>849</v>
      </c>
      <c r="P12" s="12" t="s">
        <v>880</v>
      </c>
      <c r="Q12" s="31" t="str">
        <f aca="false">IF(COUNTIF(Retroalimentación!$A:$A,A12)&gt;0,"Sí: "&amp;COUNTIF(Retroalimentación!$A:$A,A12)&amp;" textos","No")</f>
        <v>Sí: 2 textos</v>
      </c>
      <c r="R12" s="13" t="s">
        <v>802</v>
      </c>
      <c r="S12" s="13" t="s">
        <v>887</v>
      </c>
      <c r="T12" s="13" t="s">
        <v>178</v>
      </c>
      <c r="U12" s="13" t="s">
        <v>109</v>
      </c>
      <c r="V12" s="13" t="s">
        <v>110</v>
      </c>
      <c r="W12" s="14" t="str">
        <f aca="false">IF(OR(V12="",V12="Libre"),"Disponible",IF(V12="Bloqueado","Bloqueada: "&amp;IF(AA12="","falta motivo",AA12),IF(OR(V12="Aprobado",V12="En Trello"),"Cerrada",IF(V12="En revisión","En revisión: "&amp;IF(AB12="","falta revisor",AB12),IF(V12="Analizado","Lista para revisar: analizó "&amp;IF(U12="","falta responsable",U12),IF(U12="","Falta responsable","Ocupada por "&amp;U12))))))</f>
        <v>Lista para revisar: analizó Juan Fernando</v>
      </c>
      <c r="X12" s="14" t="str">
        <f aca="false">IF(AND(AB12&lt;&gt;"",AB12=U12),"El revisor no puede ser el responsable",IF(AND(OR(V12="Analizado",V12="En revisión",V12="Aprobado"),Y12=""),"Falta la fuente del análisis",IF(AND(OR(V12="Aprobado",V12="En Trello"),AB12=""),"Aprobado sin revisor","")))</f>
        <v/>
      </c>
      <c r="Y12" s="13" t="s">
        <v>111</v>
      </c>
      <c r="Z12" s="13" t="s">
        <v>805</v>
      </c>
      <c r="AA12" s="13"/>
      <c r="AB12" s="13"/>
      <c r="AC12" s="15" t="n">
        <v>46315</v>
      </c>
      <c r="AD12" s="15"/>
      <c r="AE12" s="13"/>
      <c r="AF12" s="13"/>
    </row>
    <row r="13" customFormat="false" ht="48" hidden="false" customHeight="true" outlineLevel="0" collapsed="false">
      <c r="A13" s="12" t="s">
        <v>712</v>
      </c>
      <c r="B13" s="12" t="s">
        <v>713</v>
      </c>
      <c r="C13" s="12" t="s">
        <v>707</v>
      </c>
      <c r="D13" s="12" t="s">
        <v>791</v>
      </c>
      <c r="E13" s="12" t="s">
        <v>888</v>
      </c>
      <c r="F13" s="12" t="s">
        <v>889</v>
      </c>
      <c r="G13" s="12" t="s">
        <v>890</v>
      </c>
      <c r="H13" s="12" t="s">
        <v>795</v>
      </c>
      <c r="I13" s="13" t="n">
        <v>0</v>
      </c>
      <c r="J13" s="12" t="s">
        <v>705</v>
      </c>
      <c r="K13" s="12" t="s">
        <v>891</v>
      </c>
      <c r="L13" s="12" t="s">
        <v>892</v>
      </c>
      <c r="M13" s="31" t="n">
        <f aca="false">COUNTIF(Escenarios!$A:$A,A13)</f>
        <v>10</v>
      </c>
      <c r="N13" s="12" t="s">
        <v>886</v>
      </c>
      <c r="O13" s="12" t="s">
        <v>849</v>
      </c>
      <c r="P13" s="12" t="s">
        <v>880</v>
      </c>
      <c r="Q13" s="31" t="str">
        <f aca="false">IF(COUNTIF(Retroalimentación!$A:$A,A13)&gt;0,"Sí: "&amp;COUNTIF(Retroalimentación!$A:$A,A13)&amp;" textos","No")</f>
        <v>Sí: 2 textos</v>
      </c>
      <c r="R13" s="13" t="s">
        <v>802</v>
      </c>
      <c r="S13" s="13" t="s">
        <v>893</v>
      </c>
      <c r="T13" s="13" t="s">
        <v>178</v>
      </c>
      <c r="U13" s="13" t="s">
        <v>109</v>
      </c>
      <c r="V13" s="13" t="s">
        <v>110</v>
      </c>
      <c r="W13" s="14" t="str">
        <f aca="false">IF(OR(V13="",V13="Libre"),"Disponible",IF(V13="Bloqueado","Bloqueada: "&amp;IF(AA13="","falta motivo",AA13),IF(OR(V13="Aprobado",V13="En Trello"),"Cerrada",IF(V13="En revisión","En revisión: "&amp;IF(AB13="","falta revisor",AB13),IF(V13="Analizado","Lista para revisar: analizó "&amp;IF(U13="","falta responsable",U13),IF(U13="","Falta responsable","Ocupada por "&amp;U13))))))</f>
        <v>Lista para revisar: analizó Juan Fernando</v>
      </c>
      <c r="X13" s="14" t="str">
        <f aca="false">IF(AND(AB13&lt;&gt;"",AB13=U13),"El revisor no puede ser el responsable",IF(AND(OR(V13="Analizado",V13="En revisión",V13="Aprobado"),Y13=""),"Falta la fuente del análisis",IF(AND(OR(V13="Aprobado",V13="En Trello"),AB13=""),"Aprobado sin revisor","")))</f>
        <v/>
      </c>
      <c r="Y13" s="13" t="s">
        <v>111</v>
      </c>
      <c r="Z13" s="13" t="s">
        <v>805</v>
      </c>
      <c r="AA13" s="13"/>
      <c r="AB13" s="13"/>
      <c r="AC13" s="15" t="n">
        <v>46315</v>
      </c>
      <c r="AD13" s="15"/>
      <c r="AE13" s="13"/>
      <c r="AF13" s="13"/>
    </row>
    <row r="14" customFormat="false" ht="48" hidden="false" customHeight="true" outlineLevel="0" collapsed="false">
      <c r="A14" s="12" t="s">
        <v>714</v>
      </c>
      <c r="B14" s="12" t="s">
        <v>894</v>
      </c>
      <c r="C14" s="12" t="s">
        <v>707</v>
      </c>
      <c r="D14" s="12" t="s">
        <v>791</v>
      </c>
      <c r="E14" s="12" t="s">
        <v>895</v>
      </c>
      <c r="F14" s="12" t="s">
        <v>896</v>
      </c>
      <c r="G14" s="12" t="s">
        <v>897</v>
      </c>
      <c r="H14" s="12" t="s">
        <v>898</v>
      </c>
      <c r="I14" s="13" t="n">
        <v>0</v>
      </c>
      <c r="J14" s="12" t="s">
        <v>705</v>
      </c>
      <c r="K14" s="12" t="s">
        <v>899</v>
      </c>
      <c r="L14" s="12" t="s">
        <v>892</v>
      </c>
      <c r="M14" s="31" t="n">
        <f aca="false">COUNTIF(Escenarios!$A:$A,A14)</f>
        <v>10</v>
      </c>
      <c r="N14" s="12" t="s">
        <v>886</v>
      </c>
      <c r="O14" s="12" t="s">
        <v>900</v>
      </c>
      <c r="P14" s="12" t="s">
        <v>880</v>
      </c>
      <c r="Q14" s="31" t="str">
        <f aca="false">IF(COUNTIF(Retroalimentación!$A:$A,A14)&gt;0,"Sí: "&amp;COUNTIF(Retroalimentación!$A:$A,A14)&amp;" textos","No")</f>
        <v>Sí: 2 textos</v>
      </c>
      <c r="R14" s="13" t="s">
        <v>802</v>
      </c>
      <c r="S14" s="13" t="s">
        <v>901</v>
      </c>
      <c r="T14" s="13" t="s">
        <v>178</v>
      </c>
      <c r="U14" s="13" t="s">
        <v>109</v>
      </c>
      <c r="V14" s="13" t="s">
        <v>110</v>
      </c>
      <c r="W14" s="14" t="str">
        <f aca="false">IF(OR(V14="",V14="Libre"),"Disponible",IF(V14="Bloqueado","Bloqueada: "&amp;IF(AA14="","falta motivo",AA14),IF(OR(V14="Aprobado",V14="En Trello"),"Cerrada",IF(V14="En revisión","En revisión: "&amp;IF(AB14="","falta revisor",AB14),IF(V14="Analizado","Lista para revisar: analizó "&amp;IF(U14="","falta responsable",U14),IF(U14="","Falta responsable","Ocupada por "&amp;U14))))))</f>
        <v>Lista para revisar: analizó Juan Fernando</v>
      </c>
      <c r="X14" s="14" t="str">
        <f aca="false">IF(AND(AB14&lt;&gt;"",AB14=U14),"El revisor no puede ser el responsable",IF(AND(OR(V14="Analizado",V14="En revisión",V14="Aprobado"),Y14=""),"Falta la fuente del análisis",IF(AND(OR(V14="Aprobado",V14="En Trello"),AB14=""),"Aprobado sin revisor","")))</f>
        <v/>
      </c>
      <c r="Y14" s="13" t="s">
        <v>111</v>
      </c>
      <c r="Z14" s="13" t="s">
        <v>805</v>
      </c>
      <c r="AA14" s="13"/>
      <c r="AB14" s="13"/>
      <c r="AC14" s="15" t="n">
        <v>46315</v>
      </c>
      <c r="AD14" s="15"/>
      <c r="AE14" s="13"/>
      <c r="AF14" s="13"/>
    </row>
    <row r="15" customFormat="false" ht="48" hidden="false" customHeight="true" outlineLevel="0" collapsed="false">
      <c r="A15" s="12" t="s">
        <v>716</v>
      </c>
      <c r="B15" s="12" t="s">
        <v>717</v>
      </c>
      <c r="C15" s="12" t="s">
        <v>718</v>
      </c>
      <c r="D15" s="12" t="s">
        <v>791</v>
      </c>
      <c r="E15" s="12" t="s">
        <v>902</v>
      </c>
      <c r="F15" s="12" t="s">
        <v>903</v>
      </c>
      <c r="G15" s="12" t="s">
        <v>904</v>
      </c>
      <c r="H15" s="12" t="s">
        <v>795</v>
      </c>
      <c r="I15" s="13" t="n">
        <v>0</v>
      </c>
      <c r="J15" s="12" t="s">
        <v>684</v>
      </c>
      <c r="K15" s="12" t="s">
        <v>905</v>
      </c>
      <c r="L15" s="12" t="s">
        <v>840</v>
      </c>
      <c r="M15" s="31" t="n">
        <f aca="false">COUNTIF(Escenarios!$A:$A,A15)</f>
        <v>10</v>
      </c>
      <c r="N15" s="12" t="s">
        <v>906</v>
      </c>
      <c r="O15" s="12" t="s">
        <v>907</v>
      </c>
      <c r="P15" s="12" t="s">
        <v>880</v>
      </c>
      <c r="Q15" s="31" t="str">
        <f aca="false">IF(COUNTIF(Retroalimentación!$A:$A,A15)&gt;0,"Sí: "&amp;COUNTIF(Retroalimentación!$A:$A,A15)&amp;" textos","No")</f>
        <v>Sí: 2 textos</v>
      </c>
      <c r="R15" s="13" t="s">
        <v>802</v>
      </c>
      <c r="S15" s="13" t="s">
        <v>908</v>
      </c>
      <c r="T15" s="13" t="s">
        <v>909</v>
      </c>
      <c r="U15" s="13" t="s">
        <v>109</v>
      </c>
      <c r="V15" s="13" t="s">
        <v>110</v>
      </c>
      <c r="W15" s="14" t="str">
        <f aca="false">IF(OR(V15="",V15="Libre"),"Disponible",IF(V15="Bloqueado","Bloqueada: "&amp;IF(AA15="","falta motivo",AA15),IF(OR(V15="Aprobado",V15="En Trello"),"Cerrada",IF(V15="En revisión","En revisión: "&amp;IF(AB15="","falta revisor",AB15),IF(V15="Analizado","Lista para revisar: analizó "&amp;IF(U15="","falta responsable",U15),IF(U15="","Falta responsable","Ocupada por "&amp;U15))))))</f>
        <v>Lista para revisar: analizó Juan Fernando</v>
      </c>
      <c r="X15" s="14" t="str">
        <f aca="false">IF(AND(AB15&lt;&gt;"",AB15=U15),"El revisor no puede ser el responsable",IF(AND(OR(V15="Analizado",V15="En revisión",V15="Aprobado"),Y15=""),"Falta la fuente del análisis",IF(AND(OR(V15="Aprobado",V15="En Trello"),AB15=""),"Aprobado sin revisor","")))</f>
        <v/>
      </c>
      <c r="Y15" s="13" t="s">
        <v>111</v>
      </c>
      <c r="Z15" s="13" t="s">
        <v>805</v>
      </c>
      <c r="AA15" s="13"/>
      <c r="AB15" s="13"/>
      <c r="AC15" s="15" t="n">
        <v>46315</v>
      </c>
      <c r="AD15" s="15"/>
      <c r="AE15" s="13"/>
      <c r="AF15" s="13"/>
    </row>
    <row r="16" customFormat="false" ht="48" hidden="false" customHeight="true" outlineLevel="0" collapsed="false">
      <c r="A16" s="12" t="s">
        <v>719</v>
      </c>
      <c r="B16" s="12" t="s">
        <v>720</v>
      </c>
      <c r="C16" s="12" t="s">
        <v>718</v>
      </c>
      <c r="D16" s="12" t="s">
        <v>791</v>
      </c>
      <c r="E16" s="12" t="s">
        <v>910</v>
      </c>
      <c r="F16" s="12" t="s">
        <v>911</v>
      </c>
      <c r="G16" s="12" t="s">
        <v>912</v>
      </c>
      <c r="H16" s="12" t="s">
        <v>795</v>
      </c>
      <c r="I16" s="13" t="n">
        <v>0</v>
      </c>
      <c r="J16" s="12" t="s">
        <v>716</v>
      </c>
      <c r="K16" s="12" t="s">
        <v>913</v>
      </c>
      <c r="L16" s="12" t="s">
        <v>840</v>
      </c>
      <c r="M16" s="31" t="n">
        <f aca="false">COUNTIF(Escenarios!$A:$A,A16)</f>
        <v>10</v>
      </c>
      <c r="N16" s="12" t="s">
        <v>914</v>
      </c>
      <c r="O16" s="12" t="s">
        <v>849</v>
      </c>
      <c r="P16" s="12" t="s">
        <v>880</v>
      </c>
      <c r="Q16" s="31" t="str">
        <f aca="false">IF(COUNTIF(Retroalimentación!$A:$A,A16)&gt;0,"Sí: "&amp;COUNTIF(Retroalimentación!$A:$A,A16)&amp;" textos","No")</f>
        <v>Sí: 2 textos</v>
      </c>
      <c r="R16" s="13" t="s">
        <v>802</v>
      </c>
      <c r="S16" s="13" t="s">
        <v>915</v>
      </c>
      <c r="T16" s="13" t="s">
        <v>189</v>
      </c>
      <c r="U16" s="13" t="s">
        <v>109</v>
      </c>
      <c r="V16" s="13" t="s">
        <v>110</v>
      </c>
      <c r="W16" s="14" t="str">
        <f aca="false">IF(OR(V16="",V16="Libre"),"Disponible",IF(V16="Bloqueado","Bloqueada: "&amp;IF(AA16="","falta motivo",AA16),IF(OR(V16="Aprobado",V16="En Trello"),"Cerrada",IF(V16="En revisión","En revisión: "&amp;IF(AB16="","falta revisor",AB16),IF(V16="Analizado","Lista para revisar: analizó "&amp;IF(U16="","falta responsable",U16),IF(U16="","Falta responsable","Ocupada por "&amp;U16))))))</f>
        <v>Lista para revisar: analizó Juan Fernando</v>
      </c>
      <c r="X16" s="14" t="str">
        <f aca="false">IF(AND(AB16&lt;&gt;"",AB16=U16),"El revisor no puede ser el responsable",IF(AND(OR(V16="Analizado",V16="En revisión",V16="Aprobado"),Y16=""),"Falta la fuente del análisis",IF(AND(OR(V16="Aprobado",V16="En Trello"),AB16=""),"Aprobado sin revisor","")))</f>
        <v/>
      </c>
      <c r="Y16" s="13" t="s">
        <v>111</v>
      </c>
      <c r="Z16" s="13" t="s">
        <v>805</v>
      </c>
      <c r="AA16" s="13"/>
      <c r="AB16" s="13"/>
      <c r="AC16" s="15" t="n">
        <v>46315</v>
      </c>
      <c r="AD16" s="15"/>
      <c r="AE16" s="13"/>
      <c r="AF16" s="13"/>
    </row>
    <row r="17" customFormat="false" ht="60" hidden="false" customHeight="true" outlineLevel="0" collapsed="false">
      <c r="A17" s="12" t="s">
        <v>721</v>
      </c>
      <c r="B17" s="12" t="s">
        <v>916</v>
      </c>
      <c r="C17" s="12" t="s">
        <v>718</v>
      </c>
      <c r="D17" s="12" t="s">
        <v>791</v>
      </c>
      <c r="E17" s="12" t="s">
        <v>917</v>
      </c>
      <c r="F17" s="12" t="s">
        <v>918</v>
      </c>
      <c r="G17" s="12" t="s">
        <v>919</v>
      </c>
      <c r="H17" s="12" t="s">
        <v>795</v>
      </c>
      <c r="I17" s="13" t="n">
        <v>0</v>
      </c>
      <c r="J17" s="12" t="s">
        <v>716</v>
      </c>
      <c r="K17" s="12" t="s">
        <v>920</v>
      </c>
      <c r="L17" s="12" t="s">
        <v>921</v>
      </c>
      <c r="M17" s="31" t="n">
        <f aca="false">COUNTIF(Escenarios!$A:$A,A17)</f>
        <v>10</v>
      </c>
      <c r="N17" s="12" t="s">
        <v>914</v>
      </c>
      <c r="O17" s="12" t="s">
        <v>922</v>
      </c>
      <c r="P17" s="12" t="s">
        <v>880</v>
      </c>
      <c r="Q17" s="31" t="str">
        <f aca="false">IF(COUNTIF(Retroalimentación!$A:$A,A17)&gt;0,"Sí: "&amp;COUNTIF(Retroalimentación!$A:$A,A17)&amp;" textos","No")</f>
        <v>Sí: 2 textos</v>
      </c>
      <c r="R17" s="13" t="s">
        <v>802</v>
      </c>
      <c r="S17" s="13" t="s">
        <v>923</v>
      </c>
      <c r="T17" s="13" t="s">
        <v>189</v>
      </c>
      <c r="U17" s="13" t="s">
        <v>109</v>
      </c>
      <c r="V17" s="13" t="s">
        <v>110</v>
      </c>
      <c r="W17" s="14" t="str">
        <f aca="false">IF(OR(V17="",V17="Libre"),"Disponible",IF(V17="Bloqueado","Bloqueada: "&amp;IF(AA17="","falta motivo",AA17),IF(OR(V17="Aprobado",V17="En Trello"),"Cerrada",IF(V17="En revisión","En revisión: "&amp;IF(AB17="","falta revisor",AB17),IF(V17="Analizado","Lista para revisar: analizó "&amp;IF(U17="","falta responsable",U17),IF(U17="","Falta responsable","Ocupada por "&amp;U17))))))</f>
        <v>Lista para revisar: analizó Juan Fernando</v>
      </c>
      <c r="X17" s="14" t="str">
        <f aca="false">IF(AND(AB17&lt;&gt;"",AB17=U17),"El revisor no puede ser el responsable",IF(AND(OR(V17="Analizado",V17="En revisión",V17="Aprobado"),Y17=""),"Falta la fuente del análisis",IF(AND(OR(V17="Aprobado",V17="En Trello"),AB17=""),"Aprobado sin revisor","")))</f>
        <v/>
      </c>
      <c r="Y17" s="13" t="s">
        <v>111</v>
      </c>
      <c r="Z17" s="13" t="s">
        <v>805</v>
      </c>
      <c r="AA17" s="13"/>
      <c r="AB17" s="13"/>
      <c r="AC17" s="15" t="n">
        <v>46315</v>
      </c>
      <c r="AD17" s="15"/>
      <c r="AE17" s="13"/>
      <c r="AF17" s="13"/>
    </row>
    <row r="18" customFormat="false" ht="48" hidden="false" customHeight="true" outlineLevel="0" collapsed="false">
      <c r="A18" s="12" t="s">
        <v>723</v>
      </c>
      <c r="B18" s="12" t="s">
        <v>924</v>
      </c>
      <c r="C18" s="12" t="s">
        <v>718</v>
      </c>
      <c r="D18" s="12" t="s">
        <v>791</v>
      </c>
      <c r="E18" s="12" t="s">
        <v>925</v>
      </c>
      <c r="F18" s="12" t="s">
        <v>926</v>
      </c>
      <c r="G18" s="12" t="s">
        <v>927</v>
      </c>
      <c r="H18" s="12" t="s">
        <v>898</v>
      </c>
      <c r="I18" s="13" t="n">
        <v>0</v>
      </c>
      <c r="J18" s="12" t="s">
        <v>716</v>
      </c>
      <c r="K18" s="12" t="s">
        <v>928</v>
      </c>
      <c r="L18" s="12" t="s">
        <v>921</v>
      </c>
      <c r="M18" s="31" t="n">
        <f aca="false">COUNTIF(Escenarios!$A:$A,A18)</f>
        <v>10</v>
      </c>
      <c r="N18" s="12" t="s">
        <v>914</v>
      </c>
      <c r="O18" s="12" t="s">
        <v>929</v>
      </c>
      <c r="P18" s="12" t="s">
        <v>880</v>
      </c>
      <c r="Q18" s="31" t="str">
        <f aca="false">IF(COUNTIF(Retroalimentación!$A:$A,A18)&gt;0,"Sí: "&amp;COUNTIF(Retroalimentación!$A:$A,A18)&amp;" textos","No")</f>
        <v>Sí: 2 textos</v>
      </c>
      <c r="R18" s="13" t="s">
        <v>802</v>
      </c>
      <c r="S18" s="13" t="s">
        <v>930</v>
      </c>
      <c r="T18" s="13" t="s">
        <v>189</v>
      </c>
      <c r="U18" s="13" t="s">
        <v>109</v>
      </c>
      <c r="V18" s="13" t="s">
        <v>110</v>
      </c>
      <c r="W18" s="14" t="str">
        <f aca="false">IF(OR(V18="",V18="Libre"),"Disponible",IF(V18="Bloqueado","Bloqueada: "&amp;IF(AA18="","falta motivo",AA18),IF(OR(V18="Aprobado",V18="En Trello"),"Cerrada",IF(V18="En revisión","En revisión: "&amp;IF(AB18="","falta revisor",AB18),IF(V18="Analizado","Lista para revisar: analizó "&amp;IF(U18="","falta responsable",U18),IF(U18="","Falta responsable","Ocupada por "&amp;U18))))))</f>
        <v>Lista para revisar: analizó Juan Fernando</v>
      </c>
      <c r="X18" s="14" t="str">
        <f aca="false">IF(AND(AB18&lt;&gt;"",AB18=U18),"El revisor no puede ser el responsable",IF(AND(OR(V18="Analizado",V18="En revisión",V18="Aprobado"),Y18=""),"Falta la fuente del análisis",IF(AND(OR(V18="Aprobado",V18="En Trello"),AB18=""),"Aprobado sin revisor","")))</f>
        <v/>
      </c>
      <c r="Y18" s="13" t="s">
        <v>111</v>
      </c>
      <c r="Z18" s="13" t="s">
        <v>805</v>
      </c>
      <c r="AA18" s="13"/>
      <c r="AB18" s="13"/>
      <c r="AC18" s="15" t="n">
        <v>46315</v>
      </c>
      <c r="AD18" s="15"/>
      <c r="AE18" s="13"/>
      <c r="AF18" s="13"/>
    </row>
    <row r="19" customFormat="false" ht="60" hidden="false" customHeight="true" outlineLevel="0" collapsed="false">
      <c r="A19" s="12" t="s">
        <v>725</v>
      </c>
      <c r="B19" s="12" t="s">
        <v>931</v>
      </c>
      <c r="C19" s="12" t="s">
        <v>932</v>
      </c>
      <c r="D19" s="12" t="s">
        <v>818</v>
      </c>
      <c r="E19" s="12" t="s">
        <v>933</v>
      </c>
      <c r="F19" s="12" t="s">
        <v>934</v>
      </c>
      <c r="G19" s="12" t="s">
        <v>935</v>
      </c>
      <c r="H19" s="12" t="s">
        <v>795</v>
      </c>
      <c r="I19" s="13" t="n">
        <v>0</v>
      </c>
      <c r="J19" s="12" t="s">
        <v>796</v>
      </c>
      <c r="K19" s="12" t="s">
        <v>936</v>
      </c>
      <c r="L19" s="12" t="s">
        <v>937</v>
      </c>
      <c r="M19" s="31" t="n">
        <f aca="false">COUNTIF(Escenarios!$A:$A,A19)</f>
        <v>10</v>
      </c>
      <c r="N19" s="12" t="s">
        <v>938</v>
      </c>
      <c r="O19" s="12" t="s">
        <v>939</v>
      </c>
      <c r="P19" s="12" t="s">
        <v>940</v>
      </c>
      <c r="Q19" s="31" t="str">
        <f aca="false">IF(COUNTIF(Retroalimentación!$A:$A,A19)&gt;0,"Sí: "&amp;COUNTIF(Retroalimentación!$A:$A,A19)&amp;" textos","No")</f>
        <v>Sí: 2 textos</v>
      </c>
      <c r="R19" s="13" t="s">
        <v>802</v>
      </c>
      <c r="S19" s="13" t="s">
        <v>941</v>
      </c>
      <c r="T19" s="13" t="s">
        <v>93</v>
      </c>
      <c r="U19" s="13" t="s">
        <v>109</v>
      </c>
      <c r="V19" s="13" t="s">
        <v>110</v>
      </c>
      <c r="W19" s="14" t="str">
        <f aca="false">IF(OR(V19="",V19="Libre"),"Disponible",IF(V19="Bloqueado","Bloqueada: "&amp;IF(AA19="","falta motivo",AA19),IF(OR(V19="Aprobado",V19="En Trello"),"Cerrada",IF(V19="En revisión","En revisión: "&amp;IF(AB19="","falta revisor",AB19),IF(V19="Analizado","Lista para revisar: analizó "&amp;IF(U19="","falta responsable",U19),IF(U19="","Falta responsable","Ocupada por "&amp;U19))))))</f>
        <v>Lista para revisar: analizó Juan Fernando</v>
      </c>
      <c r="X19" s="14" t="str">
        <f aca="false">IF(AND(AB19&lt;&gt;"",AB19=U19),"El revisor no puede ser el responsable",IF(AND(OR(V19="Analizado",V19="En revisión",V19="Aprobado"),Y19=""),"Falta la fuente del análisis",IF(AND(OR(V19="Aprobado",V19="En Trello"),AB19=""),"Aprobado sin revisor","")))</f>
        <v/>
      </c>
      <c r="Y19" s="13" t="s">
        <v>111</v>
      </c>
      <c r="Z19" s="13" t="s">
        <v>805</v>
      </c>
      <c r="AA19" s="13"/>
      <c r="AB19" s="13"/>
      <c r="AC19" s="15" t="n">
        <v>46315</v>
      </c>
      <c r="AD19" s="15"/>
      <c r="AE19" s="13"/>
      <c r="AF19" s="13"/>
    </row>
    <row r="20" customFormat="false" ht="48" hidden="false" customHeight="true" outlineLevel="0" collapsed="false">
      <c r="A20" s="12" t="s">
        <v>942</v>
      </c>
      <c r="B20" s="12" t="s">
        <v>943</v>
      </c>
      <c r="C20" s="12" t="s">
        <v>932</v>
      </c>
      <c r="D20" s="12" t="s">
        <v>818</v>
      </c>
      <c r="E20" s="12" t="s">
        <v>944</v>
      </c>
      <c r="F20" s="12" t="s">
        <v>945</v>
      </c>
      <c r="G20" s="12" t="s">
        <v>946</v>
      </c>
      <c r="H20" s="12" t="s">
        <v>795</v>
      </c>
      <c r="I20" s="13" t="n">
        <v>0</v>
      </c>
      <c r="J20" s="12" t="s">
        <v>725</v>
      </c>
      <c r="K20" s="12" t="s">
        <v>947</v>
      </c>
      <c r="L20" s="12" t="s">
        <v>937</v>
      </c>
      <c r="M20" s="31" t="n">
        <f aca="false">COUNTIF(Escenarios!$A:$A,A20)</f>
        <v>10</v>
      </c>
      <c r="N20" s="12" t="s">
        <v>948</v>
      </c>
      <c r="O20" s="12" t="s">
        <v>849</v>
      </c>
      <c r="P20" s="12" t="s">
        <v>940</v>
      </c>
      <c r="Q20" s="31" t="str">
        <f aca="false">IF(COUNTIF(Retroalimentación!$A:$A,A20)&gt;0,"Sí: "&amp;COUNTIF(Retroalimentación!$A:$A,A20)&amp;" textos","No")</f>
        <v>Sí: 2 textos</v>
      </c>
      <c r="R20" s="13" t="s">
        <v>802</v>
      </c>
      <c r="S20" s="13" t="s">
        <v>949</v>
      </c>
      <c r="T20" s="13" t="s">
        <v>93</v>
      </c>
      <c r="U20" s="13" t="s">
        <v>109</v>
      </c>
      <c r="V20" s="13" t="s">
        <v>110</v>
      </c>
      <c r="W20" s="14" t="str">
        <f aca="false">IF(OR(V20="",V20="Libre"),"Disponible",IF(V20="Bloqueado","Bloqueada: "&amp;IF(AA20="","falta motivo",AA20),IF(OR(V20="Aprobado",V20="En Trello"),"Cerrada",IF(V20="En revisión","En revisión: "&amp;IF(AB20="","falta revisor",AB20),IF(V20="Analizado","Lista para revisar: analizó "&amp;IF(U20="","falta responsable",U20),IF(U20="","Falta responsable","Ocupada por "&amp;U20))))))</f>
        <v>Lista para revisar: analizó Juan Fernando</v>
      </c>
      <c r="X20" s="14" t="str">
        <f aca="false">IF(AND(AB20&lt;&gt;"",AB20=U20),"El revisor no puede ser el responsable",IF(AND(OR(V20="Analizado",V20="En revisión",V20="Aprobado"),Y20=""),"Falta la fuente del análisis",IF(AND(OR(V20="Aprobado",V20="En Trello"),AB20=""),"Aprobado sin revisor","")))</f>
        <v/>
      </c>
      <c r="Y20" s="13" t="s">
        <v>111</v>
      </c>
      <c r="Z20" s="13" t="s">
        <v>805</v>
      </c>
      <c r="AA20" s="13"/>
      <c r="AB20" s="13"/>
      <c r="AC20" s="15" t="n">
        <v>46315</v>
      </c>
      <c r="AD20" s="15"/>
      <c r="AE20" s="13"/>
      <c r="AF20" s="13"/>
    </row>
    <row r="21" customFormat="false" ht="48" hidden="false" customHeight="true" outlineLevel="0" collapsed="false">
      <c r="A21" s="12" t="s">
        <v>950</v>
      </c>
      <c r="B21" s="12" t="s">
        <v>951</v>
      </c>
      <c r="C21" s="12" t="s">
        <v>932</v>
      </c>
      <c r="D21" s="12" t="s">
        <v>818</v>
      </c>
      <c r="E21" s="12" t="s">
        <v>952</v>
      </c>
      <c r="F21" s="12" t="s">
        <v>953</v>
      </c>
      <c r="G21" s="12" t="s">
        <v>954</v>
      </c>
      <c r="H21" s="12" t="s">
        <v>898</v>
      </c>
      <c r="I21" s="13" t="n">
        <v>0</v>
      </c>
      <c r="J21" s="12" t="s">
        <v>725</v>
      </c>
      <c r="K21" s="12" t="s">
        <v>955</v>
      </c>
      <c r="L21" s="12" t="s">
        <v>956</v>
      </c>
      <c r="M21" s="31" t="n">
        <f aca="false">COUNTIF(Escenarios!$A:$A,A21)</f>
        <v>10</v>
      </c>
      <c r="N21" s="12" t="s">
        <v>948</v>
      </c>
      <c r="O21" s="12" t="s">
        <v>849</v>
      </c>
      <c r="P21" s="12" t="s">
        <v>940</v>
      </c>
      <c r="Q21" s="31" t="str">
        <f aca="false">IF(COUNTIF(Retroalimentación!$A:$A,A21)&gt;0,"Sí: "&amp;COUNTIF(Retroalimentación!$A:$A,A21)&amp;" textos","No")</f>
        <v>Sí: 2 textos</v>
      </c>
      <c r="R21" s="13" t="s">
        <v>802</v>
      </c>
      <c r="S21" s="13" t="s">
        <v>957</v>
      </c>
      <c r="T21" s="13" t="s">
        <v>93</v>
      </c>
      <c r="U21" s="13" t="s">
        <v>109</v>
      </c>
      <c r="V21" s="13" t="s">
        <v>110</v>
      </c>
      <c r="W21" s="14" t="str">
        <f aca="false">IF(OR(V21="",V21="Libre"),"Disponible",IF(V21="Bloqueado","Bloqueada: "&amp;IF(AA21="","falta motivo",AA21),IF(OR(V21="Aprobado",V21="En Trello"),"Cerrada",IF(V21="En revisión","En revisión: "&amp;IF(AB21="","falta revisor",AB21),IF(V21="Analizado","Lista para revisar: analizó "&amp;IF(U21="","falta responsable",U21),IF(U21="","Falta responsable","Ocupada por "&amp;U21))))))</f>
        <v>Lista para revisar: analizó Juan Fernando</v>
      </c>
      <c r="X21" s="14" t="str">
        <f aca="false">IF(AND(AB21&lt;&gt;"",AB21=U21),"El revisor no puede ser el responsable",IF(AND(OR(V21="Analizado",V21="En revisión",V21="Aprobado"),Y21=""),"Falta la fuente del análisis",IF(AND(OR(V21="Aprobado",V21="En Trello"),AB21=""),"Aprobado sin revisor","")))</f>
        <v/>
      </c>
      <c r="Y21" s="13" t="s">
        <v>111</v>
      </c>
      <c r="Z21" s="13" t="s">
        <v>805</v>
      </c>
      <c r="AA21" s="13"/>
      <c r="AB21" s="13"/>
      <c r="AC21" s="15" t="n">
        <v>46315</v>
      </c>
      <c r="AD21" s="15"/>
      <c r="AE21" s="13"/>
      <c r="AF21" s="13"/>
    </row>
    <row r="22" customFormat="false" ht="48" hidden="false" customHeight="true" outlineLevel="0" collapsed="false">
      <c r="A22" s="12" t="s">
        <v>958</v>
      </c>
      <c r="B22" s="12" t="s">
        <v>959</v>
      </c>
      <c r="C22" s="12" t="s">
        <v>932</v>
      </c>
      <c r="D22" s="12" t="s">
        <v>818</v>
      </c>
      <c r="E22" s="12" t="s">
        <v>960</v>
      </c>
      <c r="F22" s="12" t="s">
        <v>961</v>
      </c>
      <c r="G22" s="12" t="s">
        <v>962</v>
      </c>
      <c r="H22" s="12" t="s">
        <v>898</v>
      </c>
      <c r="I22" s="13" t="n">
        <v>0</v>
      </c>
      <c r="J22" s="12" t="s">
        <v>725</v>
      </c>
      <c r="K22" s="12" t="s">
        <v>963</v>
      </c>
      <c r="L22" s="12" t="s">
        <v>956</v>
      </c>
      <c r="M22" s="31" t="n">
        <f aca="false">COUNTIF(Escenarios!$A:$A,A22)</f>
        <v>10</v>
      </c>
      <c r="N22" s="12" t="s">
        <v>948</v>
      </c>
      <c r="O22" s="12" t="s">
        <v>964</v>
      </c>
      <c r="P22" s="12" t="s">
        <v>940</v>
      </c>
      <c r="Q22" s="31" t="str">
        <f aca="false">IF(COUNTIF(Retroalimentación!$A:$A,A22)&gt;0,"Sí: "&amp;COUNTIF(Retroalimentación!$A:$A,A22)&amp;" textos","No")</f>
        <v>Sí: 2 textos</v>
      </c>
      <c r="R22" s="13" t="s">
        <v>802</v>
      </c>
      <c r="S22" s="13" t="s">
        <v>965</v>
      </c>
      <c r="T22" s="13" t="s">
        <v>93</v>
      </c>
      <c r="U22" s="13" t="s">
        <v>109</v>
      </c>
      <c r="V22" s="13" t="s">
        <v>110</v>
      </c>
      <c r="W22" s="14" t="str">
        <f aca="false">IF(OR(V22="",V22="Libre"),"Disponible",IF(V22="Bloqueado","Bloqueada: "&amp;IF(AA22="","falta motivo",AA22),IF(OR(V22="Aprobado",V22="En Trello"),"Cerrada",IF(V22="En revisión","En revisión: "&amp;IF(AB22="","falta revisor",AB22),IF(V22="Analizado","Lista para revisar: analizó "&amp;IF(U22="","falta responsable",U22),IF(U22="","Falta responsable","Ocupada por "&amp;U22))))))</f>
        <v>Lista para revisar: analizó Juan Fernando</v>
      </c>
      <c r="X22" s="14" t="str">
        <f aca="false">IF(AND(AB22&lt;&gt;"",AB22=U22),"El revisor no puede ser el responsable",IF(AND(OR(V22="Analizado",V22="En revisión",V22="Aprobado"),Y22=""),"Falta la fuente del análisis",IF(AND(OR(V22="Aprobado",V22="En Trello"),AB22=""),"Aprobado sin revisor","")))</f>
        <v/>
      </c>
      <c r="Y22" s="13" t="s">
        <v>111</v>
      </c>
      <c r="Z22" s="13" t="s">
        <v>805</v>
      </c>
      <c r="AA22" s="13"/>
      <c r="AB22" s="13"/>
      <c r="AC22" s="15" t="n">
        <v>46315</v>
      </c>
      <c r="AD22" s="15"/>
      <c r="AE22" s="13"/>
      <c r="AF22" s="13"/>
    </row>
    <row r="23" customFormat="false" ht="84" hidden="false" customHeight="true" outlineLevel="0" collapsed="false">
      <c r="A23" s="12" t="s">
        <v>732</v>
      </c>
      <c r="B23" s="12" t="s">
        <v>966</v>
      </c>
      <c r="C23" s="12" t="s">
        <v>967</v>
      </c>
      <c r="D23" s="12" t="s">
        <v>818</v>
      </c>
      <c r="E23" s="12" t="s">
        <v>968</v>
      </c>
      <c r="F23" s="12" t="s">
        <v>969</v>
      </c>
      <c r="G23" s="12" t="s">
        <v>970</v>
      </c>
      <c r="H23" s="12" t="s">
        <v>795</v>
      </c>
      <c r="I23" s="13" t="n">
        <v>0</v>
      </c>
      <c r="J23" s="12" t="s">
        <v>796</v>
      </c>
      <c r="K23" s="12" t="s">
        <v>971</v>
      </c>
      <c r="L23" s="12" t="s">
        <v>937</v>
      </c>
      <c r="M23" s="31" t="n">
        <f aca="false">COUNTIF(Escenarios!$A:$A,A23)</f>
        <v>10</v>
      </c>
      <c r="N23" s="12" t="s">
        <v>938</v>
      </c>
      <c r="O23" s="12" t="s">
        <v>972</v>
      </c>
      <c r="P23" s="12" t="s">
        <v>940</v>
      </c>
      <c r="Q23" s="31" t="str">
        <f aca="false">IF(COUNTIF(Retroalimentación!$A:$A,A23)&gt;0,"Sí: "&amp;COUNTIF(Retroalimentación!$A:$A,A23)&amp;" textos","No")</f>
        <v>Sí: 4 textos</v>
      </c>
      <c r="R23" s="13" t="s">
        <v>802</v>
      </c>
      <c r="S23" s="13" t="s">
        <v>973</v>
      </c>
      <c r="T23" s="13" t="s">
        <v>167</v>
      </c>
      <c r="U23" s="13" t="s">
        <v>109</v>
      </c>
      <c r="V23" s="13" t="s">
        <v>110</v>
      </c>
      <c r="W23" s="14" t="str">
        <f aca="false">IF(OR(V23="",V23="Libre"),"Disponible",IF(V23="Bloqueado","Bloqueada: "&amp;IF(AA23="","falta motivo",AA23),IF(OR(V23="Aprobado",V23="En Trello"),"Cerrada",IF(V23="En revisión","En revisión: "&amp;IF(AB23="","falta revisor",AB23),IF(V23="Analizado","Lista para revisar: analizó "&amp;IF(U23="","falta responsable",U23),IF(U23="","Falta responsable","Ocupada por "&amp;U23))))))</f>
        <v>Lista para revisar: analizó Juan Fernando</v>
      </c>
      <c r="X23" s="14" t="str">
        <f aca="false">IF(AND(AB23&lt;&gt;"",AB23=U23),"El revisor no puede ser el responsable",IF(AND(OR(V23="Analizado",V23="En revisión",V23="Aprobado"),Y23=""),"Falta la fuente del análisis",IF(AND(OR(V23="Aprobado",V23="En Trello"),AB23=""),"Aprobado sin revisor","")))</f>
        <v/>
      </c>
      <c r="Y23" s="13" t="s">
        <v>111</v>
      </c>
      <c r="Z23" s="13" t="s">
        <v>805</v>
      </c>
      <c r="AA23" s="13"/>
      <c r="AB23" s="13"/>
      <c r="AC23" s="15" t="n">
        <v>46315</v>
      </c>
      <c r="AD23" s="15"/>
      <c r="AE23" s="13"/>
      <c r="AF23" s="13"/>
    </row>
    <row r="24" customFormat="false" ht="48" hidden="false" customHeight="true" outlineLevel="0" collapsed="false">
      <c r="A24" s="12" t="s">
        <v>974</v>
      </c>
      <c r="B24" s="12" t="s">
        <v>975</v>
      </c>
      <c r="C24" s="12" t="s">
        <v>967</v>
      </c>
      <c r="D24" s="12" t="s">
        <v>818</v>
      </c>
      <c r="E24" s="12" t="s">
        <v>976</v>
      </c>
      <c r="F24" s="12" t="s">
        <v>977</v>
      </c>
      <c r="G24" s="12" t="s">
        <v>978</v>
      </c>
      <c r="H24" s="12" t="s">
        <v>795</v>
      </c>
      <c r="I24" s="13" t="n">
        <v>0</v>
      </c>
      <c r="J24" s="12" t="s">
        <v>732</v>
      </c>
      <c r="K24" s="12" t="s">
        <v>979</v>
      </c>
      <c r="L24" s="12" t="s">
        <v>937</v>
      </c>
      <c r="M24" s="31" t="n">
        <f aca="false">COUNTIF(Escenarios!$A:$A,A24)</f>
        <v>10</v>
      </c>
      <c r="N24" s="12" t="s">
        <v>980</v>
      </c>
      <c r="O24" s="12" t="s">
        <v>849</v>
      </c>
      <c r="P24" s="12" t="s">
        <v>940</v>
      </c>
      <c r="Q24" s="31" t="str">
        <f aca="false">IF(COUNTIF(Retroalimentación!$A:$A,A24)&gt;0,"Sí: "&amp;COUNTIF(Retroalimentación!$A:$A,A24)&amp;" textos","No")</f>
        <v>Sí: 2 textos</v>
      </c>
      <c r="R24" s="13" t="s">
        <v>802</v>
      </c>
      <c r="S24" s="13" t="s">
        <v>981</v>
      </c>
      <c r="T24" s="13" t="s">
        <v>167</v>
      </c>
      <c r="U24" s="13" t="s">
        <v>109</v>
      </c>
      <c r="V24" s="13" t="s">
        <v>110</v>
      </c>
      <c r="W24" s="14" t="str">
        <f aca="false">IF(OR(V24="",V24="Libre"),"Disponible",IF(V24="Bloqueado","Bloqueada: "&amp;IF(AA24="","falta motivo",AA24),IF(OR(V24="Aprobado",V24="En Trello"),"Cerrada",IF(V24="En revisión","En revisión: "&amp;IF(AB24="","falta revisor",AB24),IF(V24="Analizado","Lista para revisar: analizó "&amp;IF(U24="","falta responsable",U24),IF(U24="","Falta responsable","Ocupada por "&amp;U24))))))</f>
        <v>Lista para revisar: analizó Juan Fernando</v>
      </c>
      <c r="X24" s="14" t="str">
        <f aca="false">IF(AND(AB24&lt;&gt;"",AB24=U24),"El revisor no puede ser el responsable",IF(AND(OR(V24="Analizado",V24="En revisión",V24="Aprobado"),Y24=""),"Falta la fuente del análisis",IF(AND(OR(V24="Aprobado",V24="En Trello"),AB24=""),"Aprobado sin revisor","")))</f>
        <v/>
      </c>
      <c r="Y24" s="13" t="s">
        <v>111</v>
      </c>
      <c r="Z24" s="13" t="s">
        <v>805</v>
      </c>
      <c r="AA24" s="13"/>
      <c r="AB24" s="13"/>
      <c r="AC24" s="15" t="n">
        <v>46315</v>
      </c>
      <c r="AD24" s="15"/>
      <c r="AE24" s="13"/>
      <c r="AF24" s="13"/>
    </row>
    <row r="25" customFormat="false" ht="48" hidden="false" customHeight="true" outlineLevel="0" collapsed="false">
      <c r="A25" s="12" t="s">
        <v>982</v>
      </c>
      <c r="B25" s="12" t="s">
        <v>983</v>
      </c>
      <c r="C25" s="12" t="s">
        <v>967</v>
      </c>
      <c r="D25" s="12" t="s">
        <v>818</v>
      </c>
      <c r="E25" s="12" t="s">
        <v>984</v>
      </c>
      <c r="F25" s="12" t="s">
        <v>985</v>
      </c>
      <c r="G25" s="12" t="s">
        <v>986</v>
      </c>
      <c r="H25" s="12" t="s">
        <v>898</v>
      </c>
      <c r="I25" s="13" t="n">
        <v>0</v>
      </c>
      <c r="J25" s="12" t="s">
        <v>732</v>
      </c>
      <c r="K25" s="12" t="s">
        <v>955</v>
      </c>
      <c r="L25" s="12" t="s">
        <v>987</v>
      </c>
      <c r="M25" s="31" t="n">
        <f aca="false">COUNTIF(Escenarios!$A:$A,A25)</f>
        <v>10</v>
      </c>
      <c r="N25" s="12" t="s">
        <v>980</v>
      </c>
      <c r="O25" s="12" t="s">
        <v>849</v>
      </c>
      <c r="P25" s="12" t="s">
        <v>940</v>
      </c>
      <c r="Q25" s="31" t="str">
        <f aca="false">IF(COUNTIF(Retroalimentación!$A:$A,A25)&gt;0,"Sí: "&amp;COUNTIF(Retroalimentación!$A:$A,A25)&amp;" textos","No")</f>
        <v>Sí: 2 textos</v>
      </c>
      <c r="R25" s="13" t="s">
        <v>802</v>
      </c>
      <c r="S25" s="13" t="s">
        <v>988</v>
      </c>
      <c r="T25" s="13" t="s">
        <v>167</v>
      </c>
      <c r="U25" s="13" t="s">
        <v>109</v>
      </c>
      <c r="V25" s="13" t="s">
        <v>110</v>
      </c>
      <c r="W25" s="14" t="str">
        <f aca="false">IF(OR(V25="",V25="Libre"),"Disponible",IF(V25="Bloqueado","Bloqueada: "&amp;IF(AA25="","falta motivo",AA25),IF(OR(V25="Aprobado",V25="En Trello"),"Cerrada",IF(V25="En revisión","En revisión: "&amp;IF(AB25="","falta revisor",AB25),IF(V25="Analizado","Lista para revisar: analizó "&amp;IF(U25="","falta responsable",U25),IF(U25="","Falta responsable","Ocupada por "&amp;U25))))))</f>
        <v>Lista para revisar: analizó Juan Fernando</v>
      </c>
      <c r="X25" s="14" t="str">
        <f aca="false">IF(AND(AB25&lt;&gt;"",AB25=U25),"El revisor no puede ser el responsable",IF(AND(OR(V25="Analizado",V25="En revisión",V25="Aprobado"),Y25=""),"Falta la fuente del análisis",IF(AND(OR(V25="Aprobado",V25="En Trello"),AB25=""),"Aprobado sin revisor","")))</f>
        <v/>
      </c>
      <c r="Y25" s="13" t="s">
        <v>111</v>
      </c>
      <c r="Z25" s="13" t="s">
        <v>805</v>
      </c>
      <c r="AA25" s="13"/>
      <c r="AB25" s="13"/>
      <c r="AC25" s="15" t="n">
        <v>46315</v>
      </c>
      <c r="AD25" s="15"/>
      <c r="AE25" s="13"/>
      <c r="AF25" s="13"/>
    </row>
    <row r="26" customFormat="false" ht="48" hidden="false" customHeight="true" outlineLevel="0" collapsed="false">
      <c r="A26" s="12" t="s">
        <v>989</v>
      </c>
      <c r="B26" s="12" t="s">
        <v>990</v>
      </c>
      <c r="C26" s="12" t="s">
        <v>967</v>
      </c>
      <c r="D26" s="12" t="s">
        <v>818</v>
      </c>
      <c r="E26" s="12" t="s">
        <v>991</v>
      </c>
      <c r="F26" s="12" t="s">
        <v>992</v>
      </c>
      <c r="G26" s="12" t="s">
        <v>993</v>
      </c>
      <c r="H26" s="12" t="s">
        <v>898</v>
      </c>
      <c r="I26" s="13" t="n">
        <v>0</v>
      </c>
      <c r="J26" s="12" t="s">
        <v>732</v>
      </c>
      <c r="K26" s="12" t="s">
        <v>963</v>
      </c>
      <c r="L26" s="12" t="s">
        <v>987</v>
      </c>
      <c r="M26" s="31" t="n">
        <f aca="false">COUNTIF(Escenarios!$A:$A,A26)</f>
        <v>10</v>
      </c>
      <c r="N26" s="12" t="s">
        <v>980</v>
      </c>
      <c r="O26" s="12" t="s">
        <v>994</v>
      </c>
      <c r="P26" s="12" t="s">
        <v>940</v>
      </c>
      <c r="Q26" s="31" t="str">
        <f aca="false">IF(COUNTIF(Retroalimentación!$A:$A,A26)&gt;0,"Sí: "&amp;COUNTIF(Retroalimentación!$A:$A,A26)&amp;" textos","No")</f>
        <v>Sí: 2 textos</v>
      </c>
      <c r="R26" s="13" t="s">
        <v>802</v>
      </c>
      <c r="S26" s="13" t="s">
        <v>995</v>
      </c>
      <c r="T26" s="13" t="s">
        <v>167</v>
      </c>
      <c r="U26" s="13" t="s">
        <v>109</v>
      </c>
      <c r="V26" s="13" t="s">
        <v>110</v>
      </c>
      <c r="W26" s="14" t="str">
        <f aca="false">IF(OR(V26="",V26="Libre"),"Disponible",IF(V26="Bloqueado","Bloqueada: "&amp;IF(AA26="","falta motivo",AA26),IF(OR(V26="Aprobado",V26="En Trello"),"Cerrada",IF(V26="En revisión","En revisión: "&amp;IF(AB26="","falta revisor",AB26),IF(V26="Analizado","Lista para revisar: analizó "&amp;IF(U26="","falta responsable",U26),IF(U26="","Falta responsable","Ocupada por "&amp;U26))))))</f>
        <v>Lista para revisar: analizó Juan Fernando</v>
      </c>
      <c r="X26" s="14" t="str">
        <f aca="false">IF(AND(AB26&lt;&gt;"",AB26=U26),"El revisor no puede ser el responsable",IF(AND(OR(V26="Analizado",V26="En revisión",V26="Aprobado"),Y26=""),"Falta la fuente del análisis",IF(AND(OR(V26="Aprobado",V26="En Trello"),AB26=""),"Aprobado sin revisor","")))</f>
        <v/>
      </c>
      <c r="Y26" s="13" t="s">
        <v>111</v>
      </c>
      <c r="Z26" s="13" t="s">
        <v>805</v>
      </c>
      <c r="AA26" s="13"/>
      <c r="AB26" s="13"/>
      <c r="AC26" s="15" t="n">
        <v>46315</v>
      </c>
      <c r="AD26" s="15"/>
      <c r="AE26" s="13"/>
      <c r="AF26" s="13"/>
    </row>
    <row r="27" customFormat="false" ht="60" hidden="false" customHeight="true" outlineLevel="0" collapsed="false">
      <c r="A27" s="12" t="s">
        <v>735</v>
      </c>
      <c r="B27" s="12" t="s">
        <v>996</v>
      </c>
      <c r="C27" s="12" t="s">
        <v>997</v>
      </c>
      <c r="D27" s="12" t="s">
        <v>818</v>
      </c>
      <c r="E27" s="12" t="s">
        <v>998</v>
      </c>
      <c r="F27" s="12" t="s">
        <v>999</v>
      </c>
      <c r="G27" s="12" t="s">
        <v>1000</v>
      </c>
      <c r="H27" s="12" t="s">
        <v>795</v>
      </c>
      <c r="I27" s="13" t="n">
        <v>0</v>
      </c>
      <c r="J27" s="12" t="s">
        <v>796</v>
      </c>
      <c r="K27" s="12" t="s">
        <v>1001</v>
      </c>
      <c r="L27" s="12" t="s">
        <v>937</v>
      </c>
      <c r="M27" s="31" t="n">
        <f aca="false">COUNTIF(Escenarios!$A:$A,A27)</f>
        <v>10</v>
      </c>
      <c r="N27" s="12" t="s">
        <v>938</v>
      </c>
      <c r="O27" s="12" t="s">
        <v>939</v>
      </c>
      <c r="P27" s="12" t="s">
        <v>1002</v>
      </c>
      <c r="Q27" s="31" t="str">
        <f aca="false">IF(COUNTIF(Retroalimentación!$A:$A,A27)&gt;0,"Sí: "&amp;COUNTIF(Retroalimentación!$A:$A,A27)&amp;" textos","No")</f>
        <v>Sí: 2 textos</v>
      </c>
      <c r="R27" s="13" t="s">
        <v>802</v>
      </c>
      <c r="S27" s="13" t="s">
        <v>1003</v>
      </c>
      <c r="T27" s="13" t="s">
        <v>215</v>
      </c>
      <c r="U27" s="13" t="s">
        <v>109</v>
      </c>
      <c r="V27" s="13" t="s">
        <v>110</v>
      </c>
      <c r="W27" s="14" t="str">
        <f aca="false">IF(OR(V27="",V27="Libre"),"Disponible",IF(V27="Bloqueado","Bloqueada: "&amp;IF(AA27="","falta motivo",AA27),IF(OR(V27="Aprobado",V27="En Trello"),"Cerrada",IF(V27="En revisión","En revisión: "&amp;IF(AB27="","falta revisor",AB27),IF(V27="Analizado","Lista para revisar: analizó "&amp;IF(U27="","falta responsable",U27),IF(U27="","Falta responsable","Ocupada por "&amp;U27))))))</f>
        <v>Lista para revisar: analizó Juan Fernando</v>
      </c>
      <c r="X27" s="14" t="str">
        <f aca="false">IF(AND(AB27&lt;&gt;"",AB27=U27),"El revisor no puede ser el responsable",IF(AND(OR(V27="Analizado",V27="En revisión",V27="Aprobado"),Y27=""),"Falta la fuente del análisis",IF(AND(OR(V27="Aprobado",V27="En Trello"),AB27=""),"Aprobado sin revisor","")))</f>
        <v/>
      </c>
      <c r="Y27" s="13" t="s">
        <v>111</v>
      </c>
      <c r="Z27" s="13" t="s">
        <v>805</v>
      </c>
      <c r="AA27" s="13"/>
      <c r="AB27" s="13"/>
      <c r="AC27" s="15" t="n">
        <v>46315</v>
      </c>
      <c r="AD27" s="15"/>
      <c r="AE27" s="13"/>
      <c r="AF27" s="13"/>
    </row>
    <row r="28" customFormat="false" ht="36" hidden="false" customHeight="true" outlineLevel="0" collapsed="false">
      <c r="A28" s="12" t="s">
        <v>1004</v>
      </c>
      <c r="B28" s="12" t="s">
        <v>1005</v>
      </c>
      <c r="C28" s="12" t="s">
        <v>997</v>
      </c>
      <c r="D28" s="12" t="s">
        <v>818</v>
      </c>
      <c r="E28" s="12" t="s">
        <v>1006</v>
      </c>
      <c r="F28" s="12" t="s">
        <v>1007</v>
      </c>
      <c r="G28" s="12" t="s">
        <v>1008</v>
      </c>
      <c r="H28" s="12" t="s">
        <v>795</v>
      </c>
      <c r="I28" s="13" t="n">
        <v>0</v>
      </c>
      <c r="J28" s="12" t="s">
        <v>735</v>
      </c>
      <c r="K28" s="12" t="s">
        <v>1009</v>
      </c>
      <c r="L28" s="12" t="s">
        <v>937</v>
      </c>
      <c r="M28" s="31" t="n">
        <f aca="false">COUNTIF(Escenarios!$A:$A,A28)</f>
        <v>10</v>
      </c>
      <c r="N28" s="12" t="s">
        <v>1010</v>
      </c>
      <c r="O28" s="12" t="s">
        <v>849</v>
      </c>
      <c r="P28" s="12" t="s">
        <v>1002</v>
      </c>
      <c r="Q28" s="31" t="str">
        <f aca="false">IF(COUNTIF(Retroalimentación!$A:$A,A28)&gt;0,"Sí: "&amp;COUNTIF(Retroalimentación!$A:$A,A28)&amp;" textos","No")</f>
        <v>Sí: 2 textos</v>
      </c>
      <c r="R28" s="13" t="s">
        <v>802</v>
      </c>
      <c r="S28" s="13" t="s">
        <v>1011</v>
      </c>
      <c r="T28" s="13" t="s">
        <v>215</v>
      </c>
      <c r="U28" s="13" t="s">
        <v>109</v>
      </c>
      <c r="V28" s="13" t="s">
        <v>110</v>
      </c>
      <c r="W28" s="14" t="str">
        <f aca="false">IF(OR(V28="",V28="Libre"),"Disponible",IF(V28="Bloqueado","Bloqueada: "&amp;IF(AA28="","falta motivo",AA28),IF(OR(V28="Aprobado",V28="En Trello"),"Cerrada",IF(V28="En revisión","En revisión: "&amp;IF(AB28="","falta revisor",AB28),IF(V28="Analizado","Lista para revisar: analizó "&amp;IF(U28="","falta responsable",U28),IF(U28="","Falta responsable","Ocupada por "&amp;U28))))))</f>
        <v>Lista para revisar: analizó Juan Fernando</v>
      </c>
      <c r="X28" s="14" t="str">
        <f aca="false">IF(AND(AB28&lt;&gt;"",AB28=U28),"El revisor no puede ser el responsable",IF(AND(OR(V28="Analizado",V28="En revisión",V28="Aprobado"),Y28=""),"Falta la fuente del análisis",IF(AND(OR(V28="Aprobado",V28="En Trello"),AB28=""),"Aprobado sin revisor","")))</f>
        <v/>
      </c>
      <c r="Y28" s="13" t="s">
        <v>111</v>
      </c>
      <c r="Z28" s="13" t="s">
        <v>805</v>
      </c>
      <c r="AA28" s="13"/>
      <c r="AB28" s="13"/>
      <c r="AC28" s="15" t="n">
        <v>46315</v>
      </c>
      <c r="AD28" s="15"/>
      <c r="AE28" s="13"/>
      <c r="AF28" s="13"/>
    </row>
    <row r="29" customFormat="false" ht="48" hidden="false" customHeight="true" outlineLevel="0" collapsed="false">
      <c r="A29" s="12" t="s">
        <v>1012</v>
      </c>
      <c r="B29" s="12" t="s">
        <v>1013</v>
      </c>
      <c r="C29" s="12" t="s">
        <v>997</v>
      </c>
      <c r="D29" s="12" t="s">
        <v>818</v>
      </c>
      <c r="E29" s="12" t="s">
        <v>1014</v>
      </c>
      <c r="F29" s="12" t="s">
        <v>1015</v>
      </c>
      <c r="G29" s="12" t="s">
        <v>1016</v>
      </c>
      <c r="H29" s="12" t="s">
        <v>898</v>
      </c>
      <c r="I29" s="13" t="n">
        <v>0</v>
      </c>
      <c r="J29" s="12" t="s">
        <v>735</v>
      </c>
      <c r="K29" s="12" t="s">
        <v>955</v>
      </c>
      <c r="L29" s="12" t="s">
        <v>1017</v>
      </c>
      <c r="M29" s="31" t="n">
        <f aca="false">COUNTIF(Escenarios!$A:$A,A29)</f>
        <v>10</v>
      </c>
      <c r="N29" s="12" t="s">
        <v>1010</v>
      </c>
      <c r="O29" s="12" t="s">
        <v>849</v>
      </c>
      <c r="P29" s="12" t="s">
        <v>1002</v>
      </c>
      <c r="Q29" s="31" t="str">
        <f aca="false">IF(COUNTIF(Retroalimentación!$A:$A,A29)&gt;0,"Sí: "&amp;COUNTIF(Retroalimentación!$A:$A,A29)&amp;" textos","No")</f>
        <v>Sí: 2 textos</v>
      </c>
      <c r="R29" s="13" t="s">
        <v>802</v>
      </c>
      <c r="S29" s="13" t="s">
        <v>1018</v>
      </c>
      <c r="T29" s="13" t="s">
        <v>215</v>
      </c>
      <c r="U29" s="13" t="s">
        <v>109</v>
      </c>
      <c r="V29" s="13" t="s">
        <v>110</v>
      </c>
      <c r="W29" s="14" t="str">
        <f aca="false">IF(OR(V29="",V29="Libre"),"Disponible",IF(V29="Bloqueado","Bloqueada: "&amp;IF(AA29="","falta motivo",AA29),IF(OR(V29="Aprobado",V29="En Trello"),"Cerrada",IF(V29="En revisión","En revisión: "&amp;IF(AB29="","falta revisor",AB29),IF(V29="Analizado","Lista para revisar: analizó "&amp;IF(U29="","falta responsable",U29),IF(U29="","Falta responsable","Ocupada por "&amp;U29))))))</f>
        <v>Lista para revisar: analizó Juan Fernando</v>
      </c>
      <c r="X29" s="14" t="str">
        <f aca="false">IF(AND(AB29&lt;&gt;"",AB29=U29),"El revisor no puede ser el responsable",IF(AND(OR(V29="Analizado",V29="En revisión",V29="Aprobado"),Y29=""),"Falta la fuente del análisis",IF(AND(OR(V29="Aprobado",V29="En Trello"),AB29=""),"Aprobado sin revisor","")))</f>
        <v/>
      </c>
      <c r="Y29" s="13" t="s">
        <v>111</v>
      </c>
      <c r="Z29" s="13" t="s">
        <v>805</v>
      </c>
      <c r="AA29" s="13"/>
      <c r="AB29" s="13"/>
      <c r="AC29" s="15" t="n">
        <v>46315</v>
      </c>
      <c r="AD29" s="15"/>
      <c r="AE29" s="13"/>
      <c r="AF29" s="13"/>
    </row>
    <row r="30" customFormat="false" ht="48" hidden="false" customHeight="true" outlineLevel="0" collapsed="false">
      <c r="A30" s="12" t="s">
        <v>1019</v>
      </c>
      <c r="B30" s="12" t="s">
        <v>1020</v>
      </c>
      <c r="C30" s="12" t="s">
        <v>997</v>
      </c>
      <c r="D30" s="12" t="s">
        <v>818</v>
      </c>
      <c r="E30" s="12" t="s">
        <v>1021</v>
      </c>
      <c r="F30" s="12" t="s">
        <v>1022</v>
      </c>
      <c r="G30" s="12" t="s">
        <v>1023</v>
      </c>
      <c r="H30" s="12" t="s">
        <v>898</v>
      </c>
      <c r="I30" s="13" t="n">
        <v>0</v>
      </c>
      <c r="J30" s="12" t="s">
        <v>735</v>
      </c>
      <c r="K30" s="12" t="s">
        <v>963</v>
      </c>
      <c r="L30" s="12" t="s">
        <v>1017</v>
      </c>
      <c r="M30" s="31" t="n">
        <f aca="false">COUNTIF(Escenarios!$A:$A,A30)</f>
        <v>10</v>
      </c>
      <c r="N30" s="12" t="s">
        <v>1010</v>
      </c>
      <c r="O30" s="12" t="s">
        <v>1024</v>
      </c>
      <c r="P30" s="12" t="s">
        <v>1002</v>
      </c>
      <c r="Q30" s="31" t="str">
        <f aca="false">IF(COUNTIF(Retroalimentación!$A:$A,A30)&gt;0,"Sí: "&amp;COUNTIF(Retroalimentación!$A:$A,A30)&amp;" textos","No")</f>
        <v>Sí: 2 textos</v>
      </c>
      <c r="R30" s="13" t="s">
        <v>802</v>
      </c>
      <c r="S30" s="13" t="s">
        <v>1025</v>
      </c>
      <c r="T30" s="13" t="s">
        <v>215</v>
      </c>
      <c r="U30" s="13" t="s">
        <v>109</v>
      </c>
      <c r="V30" s="13" t="s">
        <v>110</v>
      </c>
      <c r="W30" s="14" t="str">
        <f aca="false">IF(OR(V30="",V30="Libre"),"Disponible",IF(V30="Bloqueado","Bloqueada: "&amp;IF(AA30="","falta motivo",AA30),IF(OR(V30="Aprobado",V30="En Trello"),"Cerrada",IF(V30="En revisión","En revisión: "&amp;IF(AB30="","falta revisor",AB30),IF(V30="Analizado","Lista para revisar: analizó "&amp;IF(U30="","falta responsable",U30),IF(U30="","Falta responsable","Ocupada por "&amp;U30))))))</f>
        <v>Lista para revisar: analizó Juan Fernando</v>
      </c>
      <c r="X30" s="14" t="str">
        <f aca="false">IF(AND(AB30&lt;&gt;"",AB30=U30),"El revisor no puede ser el responsable",IF(AND(OR(V30="Analizado",V30="En revisión",V30="Aprobado"),Y30=""),"Falta la fuente del análisis",IF(AND(OR(V30="Aprobado",V30="En Trello"),AB30=""),"Aprobado sin revisor","")))</f>
        <v/>
      </c>
      <c r="Y30" s="13" t="s">
        <v>111</v>
      </c>
      <c r="Z30" s="13" t="s">
        <v>805</v>
      </c>
      <c r="AA30" s="13"/>
      <c r="AB30" s="13"/>
      <c r="AC30" s="15" t="n">
        <v>46315</v>
      </c>
      <c r="AD30" s="15"/>
      <c r="AE30" s="13"/>
      <c r="AF30" s="13"/>
    </row>
    <row r="31" customFormat="false" ht="84" hidden="false" customHeight="true" outlineLevel="0" collapsed="false">
      <c r="A31" s="12" t="s">
        <v>748</v>
      </c>
      <c r="B31" s="12" t="s">
        <v>1026</v>
      </c>
      <c r="C31" s="12" t="s">
        <v>1027</v>
      </c>
      <c r="D31" s="12" t="s">
        <v>818</v>
      </c>
      <c r="E31" s="12" t="s">
        <v>1028</v>
      </c>
      <c r="F31" s="12" t="s">
        <v>1029</v>
      </c>
      <c r="G31" s="12" t="s">
        <v>1030</v>
      </c>
      <c r="H31" s="12" t="s">
        <v>795</v>
      </c>
      <c r="I31" s="13" t="n">
        <v>0</v>
      </c>
      <c r="J31" s="12" t="s">
        <v>796</v>
      </c>
      <c r="K31" s="12" t="s">
        <v>1031</v>
      </c>
      <c r="L31" s="12" t="s">
        <v>937</v>
      </c>
      <c r="M31" s="31" t="n">
        <f aca="false">COUNTIF(Escenarios!$A:$A,A31)</f>
        <v>10</v>
      </c>
      <c r="N31" s="12" t="s">
        <v>1032</v>
      </c>
      <c r="O31" s="12" t="s">
        <v>1033</v>
      </c>
      <c r="P31" s="12" t="s">
        <v>1002</v>
      </c>
      <c r="Q31" s="31" t="str">
        <f aca="false">IF(COUNTIF(Retroalimentación!$A:$A,A31)&gt;0,"Sí: "&amp;COUNTIF(Retroalimentación!$A:$A,A31)&amp;" textos","No")</f>
        <v>Sí: 2 textos</v>
      </c>
      <c r="R31" s="13" t="s">
        <v>802</v>
      </c>
      <c r="S31" s="13" t="s">
        <v>1034</v>
      </c>
      <c r="T31" s="13" t="s">
        <v>321</v>
      </c>
      <c r="U31" s="13" t="s">
        <v>109</v>
      </c>
      <c r="V31" s="13" t="s">
        <v>110</v>
      </c>
      <c r="W31" s="14" t="str">
        <f aca="false">IF(OR(V31="",V31="Libre"),"Disponible",IF(V31="Bloqueado","Bloqueada: "&amp;IF(AA31="","falta motivo",AA31),IF(OR(V31="Aprobado",V31="En Trello"),"Cerrada",IF(V31="En revisión","En revisión: "&amp;IF(AB31="","falta revisor",AB31),IF(V31="Analizado","Lista para revisar: analizó "&amp;IF(U31="","falta responsable",U31),IF(U31="","Falta responsable","Ocupada por "&amp;U31))))))</f>
        <v>Lista para revisar: analizó Juan Fernando</v>
      </c>
      <c r="X31" s="14" t="str">
        <f aca="false">IF(AND(AB31&lt;&gt;"",AB31=U31),"El revisor no puede ser el responsable",IF(AND(OR(V31="Analizado",V31="En revisión",V31="Aprobado"),Y31=""),"Falta la fuente del análisis",IF(AND(OR(V31="Aprobado",V31="En Trello"),AB31=""),"Aprobado sin revisor","")))</f>
        <v/>
      </c>
      <c r="Y31" s="13" t="s">
        <v>111</v>
      </c>
      <c r="Z31" s="13" t="s">
        <v>805</v>
      </c>
      <c r="AA31" s="13"/>
      <c r="AB31" s="13"/>
      <c r="AC31" s="15" t="n">
        <v>46315</v>
      </c>
      <c r="AD31" s="15"/>
      <c r="AE31" s="13"/>
      <c r="AF31" s="13"/>
    </row>
    <row r="32" customFormat="false" ht="36" hidden="false" customHeight="true" outlineLevel="0" collapsed="false">
      <c r="A32" s="12" t="s">
        <v>753</v>
      </c>
      <c r="B32" s="12" t="s">
        <v>1035</v>
      </c>
      <c r="C32" s="12" t="s">
        <v>1027</v>
      </c>
      <c r="D32" s="12" t="s">
        <v>818</v>
      </c>
      <c r="E32" s="12" t="s">
        <v>1036</v>
      </c>
      <c r="F32" s="12" t="s">
        <v>1037</v>
      </c>
      <c r="G32" s="12" t="s">
        <v>1038</v>
      </c>
      <c r="H32" s="12" t="s">
        <v>795</v>
      </c>
      <c r="I32" s="13" t="n">
        <v>0</v>
      </c>
      <c r="J32" s="12" t="s">
        <v>748</v>
      </c>
      <c r="K32" s="12" t="s">
        <v>1039</v>
      </c>
      <c r="L32" s="12" t="s">
        <v>937</v>
      </c>
      <c r="M32" s="31" t="n">
        <f aca="false">COUNTIF(Escenarios!$A:$A,A32)</f>
        <v>10</v>
      </c>
      <c r="N32" s="12" t="s">
        <v>1040</v>
      </c>
      <c r="O32" s="12" t="s">
        <v>1041</v>
      </c>
      <c r="P32" s="12" t="s">
        <v>1002</v>
      </c>
      <c r="Q32" s="31" t="str">
        <f aca="false">IF(COUNTIF(Retroalimentación!$A:$A,A32)&gt;0,"Sí: "&amp;COUNTIF(Retroalimentación!$A:$A,A32)&amp;" textos","No")</f>
        <v>Sí: 2 textos</v>
      </c>
      <c r="R32" s="13" t="s">
        <v>802</v>
      </c>
      <c r="S32" s="13" t="s">
        <v>1042</v>
      </c>
      <c r="T32" s="13" t="s">
        <v>321</v>
      </c>
      <c r="U32" s="13" t="s">
        <v>109</v>
      </c>
      <c r="V32" s="13" t="s">
        <v>110</v>
      </c>
      <c r="W32" s="14" t="str">
        <f aca="false">IF(OR(V32="",V32="Libre"),"Disponible",IF(V32="Bloqueado","Bloqueada: "&amp;IF(AA32="","falta motivo",AA32),IF(OR(V32="Aprobado",V32="En Trello"),"Cerrada",IF(V32="En revisión","En revisión: "&amp;IF(AB32="","falta revisor",AB32),IF(V32="Analizado","Lista para revisar: analizó "&amp;IF(U32="","falta responsable",U32),IF(U32="","Falta responsable","Ocupada por "&amp;U32))))))</f>
        <v>Lista para revisar: analizó Juan Fernando</v>
      </c>
      <c r="X32" s="14" t="str">
        <f aca="false">IF(AND(AB32&lt;&gt;"",AB32=U32),"El revisor no puede ser el responsable",IF(AND(OR(V32="Analizado",V32="En revisión",V32="Aprobado"),Y32=""),"Falta la fuente del análisis",IF(AND(OR(V32="Aprobado",V32="En Trello"),AB32=""),"Aprobado sin revisor","")))</f>
        <v/>
      </c>
      <c r="Y32" s="13" t="s">
        <v>111</v>
      </c>
      <c r="Z32" s="13" t="s">
        <v>1043</v>
      </c>
      <c r="AA32" s="13"/>
      <c r="AB32" s="13"/>
      <c r="AC32" s="15" t="n">
        <v>46315</v>
      </c>
      <c r="AD32" s="15"/>
      <c r="AE32" s="13"/>
      <c r="AF32" s="13"/>
    </row>
    <row r="33" customFormat="false" ht="48" hidden="false" customHeight="true" outlineLevel="0" collapsed="false">
      <c r="A33" s="12" t="s">
        <v>1044</v>
      </c>
      <c r="B33" s="12" t="s">
        <v>1045</v>
      </c>
      <c r="C33" s="12" t="s">
        <v>1027</v>
      </c>
      <c r="D33" s="12" t="s">
        <v>818</v>
      </c>
      <c r="E33" s="12" t="s">
        <v>1046</v>
      </c>
      <c r="F33" s="12" t="s">
        <v>1047</v>
      </c>
      <c r="G33" s="12" t="s">
        <v>1048</v>
      </c>
      <c r="H33" s="12" t="s">
        <v>898</v>
      </c>
      <c r="I33" s="13" t="n">
        <v>0</v>
      </c>
      <c r="J33" s="12" t="s">
        <v>748</v>
      </c>
      <c r="K33" s="12" t="s">
        <v>1049</v>
      </c>
      <c r="L33" s="12" t="s">
        <v>1050</v>
      </c>
      <c r="M33" s="31" t="n">
        <f aca="false">COUNTIF(Escenarios!$A:$A,A33)</f>
        <v>10</v>
      </c>
      <c r="N33" s="12" t="s">
        <v>1040</v>
      </c>
      <c r="O33" s="12" t="s">
        <v>1051</v>
      </c>
      <c r="P33" s="12" t="s">
        <v>1002</v>
      </c>
      <c r="Q33" s="31" t="str">
        <f aca="false">IF(COUNTIF(Retroalimentación!$A:$A,A33)&gt;0,"Sí: "&amp;COUNTIF(Retroalimentación!$A:$A,A33)&amp;" textos","No")</f>
        <v>No</v>
      </c>
      <c r="R33" s="13" t="s">
        <v>802</v>
      </c>
      <c r="S33" s="13" t="s">
        <v>1052</v>
      </c>
      <c r="T33" s="13" t="s">
        <v>321</v>
      </c>
      <c r="U33" s="13" t="s">
        <v>109</v>
      </c>
      <c r="V33" s="13" t="s">
        <v>110</v>
      </c>
      <c r="W33" s="14" t="str">
        <f aca="false">IF(OR(V33="",V33="Libre"),"Disponible",IF(V33="Bloqueado","Bloqueada: "&amp;IF(AA33="","falta motivo",AA33),IF(OR(V33="Aprobado",V33="En Trello"),"Cerrada",IF(V33="En revisión","En revisión: "&amp;IF(AB33="","falta revisor",AB33),IF(V33="Analizado","Lista para revisar: analizó "&amp;IF(U33="","falta responsable",U33),IF(U33="","Falta responsable","Ocupada por "&amp;U33))))))</f>
        <v>Lista para revisar: analizó Juan Fernando</v>
      </c>
      <c r="X33" s="14" t="str">
        <f aca="false">IF(AND(AB33&lt;&gt;"",AB33=U33),"El revisor no puede ser el responsable",IF(AND(OR(V33="Analizado",V33="En revisión",V33="Aprobado"),Y33=""),"Falta la fuente del análisis",IF(AND(OR(V33="Aprobado",V33="En Trello"),AB33=""),"Aprobado sin revisor","")))</f>
        <v/>
      </c>
      <c r="Y33" s="13" t="s">
        <v>111</v>
      </c>
      <c r="Z33" s="13" t="s">
        <v>1043</v>
      </c>
      <c r="AA33" s="13"/>
      <c r="AB33" s="13"/>
      <c r="AC33" s="15" t="n">
        <v>46315</v>
      </c>
      <c r="AD33" s="15"/>
      <c r="AE33" s="13"/>
      <c r="AF33" s="13"/>
    </row>
    <row r="34" customFormat="false" ht="48" hidden="false" customHeight="true" outlineLevel="0" collapsed="false">
      <c r="A34" s="12" t="s">
        <v>1053</v>
      </c>
      <c r="B34" s="12" t="s">
        <v>1054</v>
      </c>
      <c r="C34" s="12" t="s">
        <v>1027</v>
      </c>
      <c r="D34" s="12" t="s">
        <v>818</v>
      </c>
      <c r="E34" s="12" t="s">
        <v>1055</v>
      </c>
      <c r="F34" s="12" t="s">
        <v>1056</v>
      </c>
      <c r="G34" s="12" t="s">
        <v>1057</v>
      </c>
      <c r="H34" s="12" t="s">
        <v>898</v>
      </c>
      <c r="I34" s="13" t="n">
        <v>0</v>
      </c>
      <c r="J34" s="12" t="s">
        <v>748</v>
      </c>
      <c r="K34" s="12" t="s">
        <v>1058</v>
      </c>
      <c r="L34" s="12" t="s">
        <v>1050</v>
      </c>
      <c r="M34" s="31" t="n">
        <f aca="false">COUNTIF(Escenarios!$A:$A,A34)</f>
        <v>10</v>
      </c>
      <c r="N34" s="12" t="s">
        <v>1040</v>
      </c>
      <c r="O34" s="12" t="s">
        <v>1059</v>
      </c>
      <c r="P34" s="12" t="s">
        <v>1002</v>
      </c>
      <c r="Q34" s="31" t="str">
        <f aca="false">IF(COUNTIF(Retroalimentación!$A:$A,A34)&gt;0,"Sí: "&amp;COUNTIF(Retroalimentación!$A:$A,A34)&amp;" textos","No")</f>
        <v>Sí: 2 textos</v>
      </c>
      <c r="R34" s="13" t="s">
        <v>802</v>
      </c>
      <c r="S34" s="13" t="s">
        <v>1060</v>
      </c>
      <c r="T34" s="13" t="s">
        <v>321</v>
      </c>
      <c r="U34" s="13" t="s">
        <v>109</v>
      </c>
      <c r="V34" s="13" t="s">
        <v>110</v>
      </c>
      <c r="W34" s="14" t="str">
        <f aca="false">IF(OR(V34="",V34="Libre"),"Disponible",IF(V34="Bloqueado","Bloqueada: "&amp;IF(AA34="","falta motivo",AA34),IF(OR(V34="Aprobado",V34="En Trello"),"Cerrada",IF(V34="En revisión","En revisión: "&amp;IF(AB34="","falta revisor",AB34),IF(V34="Analizado","Lista para revisar: analizó "&amp;IF(U34="","falta responsable",U34),IF(U34="","Falta responsable","Ocupada por "&amp;U34))))))</f>
        <v>Lista para revisar: analizó Juan Fernando</v>
      </c>
      <c r="X34" s="14" t="str">
        <f aca="false">IF(AND(AB34&lt;&gt;"",AB34=U34),"El revisor no puede ser el responsable",IF(AND(OR(V34="Analizado",V34="En revisión",V34="Aprobado"),Y34=""),"Falta la fuente del análisis",IF(AND(OR(V34="Aprobado",V34="En Trello"),AB34=""),"Aprobado sin revisor","")))</f>
        <v/>
      </c>
      <c r="Y34" s="13" t="s">
        <v>111</v>
      </c>
      <c r="Z34" s="13" t="s">
        <v>1043</v>
      </c>
      <c r="AA34" s="13"/>
      <c r="AB34" s="13"/>
      <c r="AC34" s="15" t="n">
        <v>46315</v>
      </c>
      <c r="AD34" s="15"/>
      <c r="AE34" s="13"/>
      <c r="AF34" s="13"/>
    </row>
  </sheetData>
  <autoFilter ref="A1:AF34"/>
  <conditionalFormatting sqref="W2:W34">
    <cfRule type="expression" priority="2" aboveAverage="0" equalAverage="0" bottom="0" percent="0" rank="0" text="" dxfId="11">
      <formula>LEFT(W2,10)="Disponible"</formula>
    </cfRule>
    <cfRule type="expression" priority="3" aboveAverage="0" equalAverage="0" bottom="0" percent="0" rank="0" text="" dxfId="12">
      <formula>LEFT(W2,7)="Ocupada"</formula>
    </cfRule>
    <cfRule type="expression" priority="4" aboveAverage="0" equalAverage="0" bottom="0" percent="0" rank="0" text="" dxfId="13">
      <formula>LEFT(W2,9)="Bloqueada"</formula>
    </cfRule>
    <cfRule type="expression" priority="5" aboveAverage="0" equalAverage="0" bottom="0" percent="0" rank="0" text="" dxfId="14">
      <formula>LEFT(W2,7)="Cerrada"</formula>
    </cfRule>
    <cfRule type="expression" priority="6" aboveAverage="0" equalAverage="0" bottom="0" percent="0" rank="0" text="" dxfId="15">
      <formula>LEFT(W2,11)="En revisión"</formula>
    </cfRule>
    <cfRule type="expression" priority="7" aboveAverage="0" equalAverage="0" bottom="0" percent="0" rank="0" text="" dxfId="13">
      <formula>LEFT(W2,11)="Falta respo"</formula>
    </cfRule>
    <cfRule type="expression" priority="8" aboveAverage="0" equalAverage="0" bottom="0" percent="0" rank="0" text="" dxfId="16">
      <formula>LEFT(W2,10)="Lista para"</formula>
    </cfRule>
  </conditionalFormatting>
  <conditionalFormatting sqref="X2:X34">
    <cfRule type="expression" priority="9" aboveAverage="0" equalAverage="0" bottom="0" percent="0" rank="0" text="" dxfId="17">
      <formula>X2&lt;&gt;""</formula>
    </cfRule>
  </conditionalFormatting>
  <dataValidations count="4">
    <dataValidation allowBlank="true" errorStyle="stop" operator="between" showDropDown="false" showErrorMessage="false" showInputMessage="false" sqref="U2:U34 AB2:AB34" type="list">
      <formula1>"Juan Fernando,Juan José,Juliana,Jorge"</formula1>
      <formula2>0</formula2>
    </dataValidation>
    <dataValidation allowBlank="true" errorStyle="stop" operator="between" showDropDown="false" showErrorMessage="false" showInputMessage="false" sqref="V2:V34" type="list">
      <formula1>"Libre,En análisis,Analizado,En revisión,Aprobado,Bloqueado,En Trello"</formula1>
      <formula2>0</formula2>
    </dataValidation>
    <dataValidation allowBlank="true" errorStyle="stop" operator="between" showDropDown="false" showErrorMessage="false" showInputMessage="false" sqref="Y2:Y34" type="list">
      <formula1>"Hoja del PDF del anexo,Prompt con IA,Documento del docente,Retroalimentación del docente,Decisión del equipo,Análisis propio"</formula1>
      <formula2>0</formula2>
    </dataValidation>
    <dataValidation allowBlank="true" errorStyle="stop" operator="between" showDropDown="false" showErrorMessage="false" showInputMessage="false" sqref="R2:R34" type="list">
      <formula1>"Cumple,Ajustar,Sobra"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4" min="4" style="0" width="11"/>
    <col collapsed="false" customWidth="true" hidden="false" outlineLevel="0" max="5" min="5" style="0" width="85"/>
    <col collapsed="false" customWidth="true" hidden="false" outlineLevel="0" max="6" min="6" style="0" width="40"/>
    <col collapsed="false" customWidth="true" hidden="false" outlineLevel="0" max="7" min="7" style="0" width="15"/>
    <col collapsed="false" customWidth="true" hidden="false" outlineLevel="0" max="8" min="8" style="0" width="11"/>
    <col collapsed="false" customWidth="true" hidden="false" outlineLevel="0" max="9" min="9" style="0" width="16"/>
    <col collapsed="false" customWidth="true" hidden="false" outlineLevel="0" max="10" min="10" style="0" width="22"/>
  </cols>
  <sheetData>
    <row r="1" customFormat="false" ht="23.85" hidden="false" customHeight="false" outlineLevel="0" collapsed="false">
      <c r="A1" s="16" t="s">
        <v>1061</v>
      </c>
      <c r="B1" s="16" t="s">
        <v>1062</v>
      </c>
      <c r="C1" s="16" t="s">
        <v>65</v>
      </c>
      <c r="D1" s="16" t="s">
        <v>1063</v>
      </c>
      <c r="E1" s="16" t="s">
        <v>785</v>
      </c>
      <c r="F1" s="16" t="s">
        <v>1064</v>
      </c>
      <c r="G1" s="16" t="s">
        <v>82</v>
      </c>
      <c r="H1" s="16" t="s">
        <v>149</v>
      </c>
      <c r="I1" s="16" t="s">
        <v>1065</v>
      </c>
      <c r="J1" s="16" t="s">
        <v>1066</v>
      </c>
    </row>
    <row r="2" customFormat="false" ht="46.25" hidden="false" customHeight="false" outlineLevel="0" collapsed="false">
      <c r="A2" s="18" t="s">
        <v>1067</v>
      </c>
      <c r="B2" s="18" t="s">
        <v>1068</v>
      </c>
      <c r="C2" s="18"/>
      <c r="D2" s="18" t="s">
        <v>802</v>
      </c>
      <c r="E2" s="18" t="s">
        <v>1069</v>
      </c>
      <c r="F2" s="18" t="s">
        <v>1070</v>
      </c>
      <c r="G2" s="18" t="s">
        <v>109</v>
      </c>
      <c r="H2" s="32" t="n">
        <v>46315</v>
      </c>
      <c r="I2" s="18" t="s">
        <v>1071</v>
      </c>
      <c r="J2" s="18" t="s">
        <v>1072</v>
      </c>
    </row>
    <row r="3" customFormat="false" ht="23.85" hidden="false" customHeight="false" outlineLevel="0" collapsed="false">
      <c r="A3" s="18" t="s">
        <v>1073</v>
      </c>
      <c r="B3" s="18" t="s">
        <v>1068</v>
      </c>
      <c r="C3" s="18"/>
      <c r="D3" s="18" t="s">
        <v>802</v>
      </c>
      <c r="E3" s="18" t="s">
        <v>1074</v>
      </c>
      <c r="F3" s="18" t="s">
        <v>1075</v>
      </c>
      <c r="G3" s="18" t="s">
        <v>109</v>
      </c>
      <c r="H3" s="32" t="n">
        <v>46315</v>
      </c>
      <c r="I3" s="18" t="s">
        <v>1076</v>
      </c>
      <c r="J3" s="18" t="s">
        <v>1077</v>
      </c>
    </row>
    <row r="4" customFormat="false" ht="15" hidden="false" customHeight="false" outlineLevel="0" collapsed="false">
      <c r="A4" s="18" t="s">
        <v>676</v>
      </c>
      <c r="B4" s="18" t="s">
        <v>1078</v>
      </c>
      <c r="C4" s="18"/>
      <c r="D4" s="18" t="s">
        <v>802</v>
      </c>
      <c r="E4" s="18" t="s">
        <v>1079</v>
      </c>
      <c r="F4" s="18" t="s">
        <v>1080</v>
      </c>
      <c r="G4" s="18" t="s">
        <v>109</v>
      </c>
      <c r="H4" s="32" t="n">
        <v>46315</v>
      </c>
      <c r="I4" s="18" t="s">
        <v>676</v>
      </c>
      <c r="J4" s="18" t="s">
        <v>1081</v>
      </c>
    </row>
    <row r="5" customFormat="false" ht="23.85" hidden="false" customHeight="false" outlineLevel="0" collapsed="false">
      <c r="A5" s="18" t="s">
        <v>676</v>
      </c>
      <c r="B5" s="18" t="s">
        <v>1078</v>
      </c>
      <c r="C5" s="18"/>
      <c r="D5" s="18" t="s">
        <v>802</v>
      </c>
      <c r="E5" s="18" t="s">
        <v>1082</v>
      </c>
      <c r="F5" s="18" t="s">
        <v>1083</v>
      </c>
      <c r="G5" s="18" t="s">
        <v>109</v>
      </c>
      <c r="H5" s="32" t="n">
        <v>46315</v>
      </c>
      <c r="I5" s="18" t="s">
        <v>676</v>
      </c>
      <c r="J5" s="18" t="s">
        <v>1081</v>
      </c>
    </row>
    <row r="6" customFormat="false" ht="15" hidden="false" customHeight="false" outlineLevel="0" collapsed="false">
      <c r="A6" s="18" t="s">
        <v>676</v>
      </c>
      <c r="B6" s="18" t="s">
        <v>1078</v>
      </c>
      <c r="C6" s="18"/>
      <c r="D6" s="18" t="s">
        <v>1084</v>
      </c>
      <c r="E6" s="18" t="s">
        <v>1085</v>
      </c>
      <c r="F6" s="18" t="s">
        <v>1086</v>
      </c>
      <c r="G6" s="18" t="s">
        <v>109</v>
      </c>
      <c r="H6" s="32" t="n">
        <v>46315</v>
      </c>
      <c r="I6" s="18" t="s">
        <v>676</v>
      </c>
      <c r="J6" s="18" t="s">
        <v>1081</v>
      </c>
    </row>
    <row r="7" customFormat="false" ht="15" hidden="false" customHeight="false" outlineLevel="0" collapsed="false">
      <c r="A7" s="18" t="s">
        <v>806</v>
      </c>
      <c r="B7" s="18" t="s">
        <v>1078</v>
      </c>
      <c r="C7" s="18"/>
      <c r="D7" s="18" t="s">
        <v>802</v>
      </c>
      <c r="E7" s="18" t="s">
        <v>1087</v>
      </c>
      <c r="F7" s="18" t="s">
        <v>1080</v>
      </c>
      <c r="G7" s="18" t="s">
        <v>109</v>
      </c>
      <c r="H7" s="32" t="n">
        <v>46315</v>
      </c>
      <c r="I7" s="18" t="s">
        <v>676</v>
      </c>
      <c r="J7" s="18" t="s">
        <v>1081</v>
      </c>
    </row>
    <row r="8" customFormat="false" ht="15" hidden="false" customHeight="false" outlineLevel="0" collapsed="false">
      <c r="A8" s="18" t="s">
        <v>806</v>
      </c>
      <c r="B8" s="18" t="s">
        <v>1078</v>
      </c>
      <c r="C8" s="18"/>
      <c r="D8" s="18" t="s">
        <v>802</v>
      </c>
      <c r="E8" s="18" t="s">
        <v>1088</v>
      </c>
      <c r="F8" s="18" t="s">
        <v>1089</v>
      </c>
      <c r="G8" s="18" t="s">
        <v>109</v>
      </c>
      <c r="H8" s="32" t="n">
        <v>46315</v>
      </c>
      <c r="I8" s="18" t="s">
        <v>676</v>
      </c>
      <c r="J8" s="18" t="s">
        <v>1081</v>
      </c>
    </row>
    <row r="9" customFormat="false" ht="23.85" hidden="false" customHeight="false" outlineLevel="0" collapsed="false">
      <c r="A9" s="18" t="s">
        <v>806</v>
      </c>
      <c r="B9" s="18" t="s">
        <v>1078</v>
      </c>
      <c r="C9" s="18"/>
      <c r="D9" s="18" t="s">
        <v>802</v>
      </c>
      <c r="E9" s="18" t="s">
        <v>1090</v>
      </c>
      <c r="F9" s="18" t="s">
        <v>1091</v>
      </c>
      <c r="G9" s="18" t="s">
        <v>109</v>
      </c>
      <c r="H9" s="32" t="n">
        <v>46315</v>
      </c>
      <c r="I9" s="18" t="s">
        <v>676</v>
      </c>
      <c r="J9" s="18" t="s">
        <v>1081</v>
      </c>
    </row>
    <row r="10" customFormat="false" ht="23.85" hidden="false" customHeight="false" outlineLevel="0" collapsed="false">
      <c r="A10" s="18" t="s">
        <v>816</v>
      </c>
      <c r="B10" s="18" t="s">
        <v>1078</v>
      </c>
      <c r="C10" s="18"/>
      <c r="D10" s="18" t="s">
        <v>802</v>
      </c>
      <c r="E10" s="18" t="s">
        <v>1092</v>
      </c>
      <c r="F10" s="18" t="s">
        <v>1080</v>
      </c>
      <c r="G10" s="18" t="s">
        <v>109</v>
      </c>
      <c r="H10" s="32" t="n">
        <v>46315</v>
      </c>
      <c r="I10" s="18" t="s">
        <v>676</v>
      </c>
      <c r="J10" s="18" t="s">
        <v>1081</v>
      </c>
    </row>
    <row r="11" customFormat="false" ht="23.85" hidden="false" customHeight="false" outlineLevel="0" collapsed="false">
      <c r="A11" s="18" t="s">
        <v>816</v>
      </c>
      <c r="B11" s="18" t="s">
        <v>1078</v>
      </c>
      <c r="C11" s="18"/>
      <c r="D11" s="18" t="s">
        <v>802</v>
      </c>
      <c r="E11" s="18" t="s">
        <v>1093</v>
      </c>
      <c r="F11" s="18" t="s">
        <v>1080</v>
      </c>
      <c r="G11" s="18" t="s">
        <v>109</v>
      </c>
      <c r="H11" s="32" t="n">
        <v>46315</v>
      </c>
      <c r="I11" s="18" t="s">
        <v>676</v>
      </c>
      <c r="J11" s="18" t="s">
        <v>1081</v>
      </c>
    </row>
    <row r="12" customFormat="false" ht="35.05" hidden="false" customHeight="false" outlineLevel="0" collapsed="false">
      <c r="A12" s="18" t="s">
        <v>684</v>
      </c>
      <c r="B12" s="18" t="s">
        <v>835</v>
      </c>
      <c r="C12" s="18"/>
      <c r="D12" s="18" t="s">
        <v>802</v>
      </c>
      <c r="E12" s="18" t="s">
        <v>1094</v>
      </c>
      <c r="F12" s="18" t="s">
        <v>1095</v>
      </c>
      <c r="G12" s="18" t="s">
        <v>109</v>
      </c>
      <c r="H12" s="32" t="n">
        <v>46315</v>
      </c>
      <c r="I12" s="18" t="s">
        <v>684</v>
      </c>
      <c r="J12" s="18" t="s">
        <v>1081</v>
      </c>
    </row>
    <row r="13" customFormat="false" ht="23.85" hidden="false" customHeight="false" outlineLevel="0" collapsed="false">
      <c r="A13" s="18" t="s">
        <v>684</v>
      </c>
      <c r="B13" s="18" t="s">
        <v>835</v>
      </c>
      <c r="C13" s="18"/>
      <c r="D13" s="18" t="s">
        <v>802</v>
      </c>
      <c r="E13" s="18" t="s">
        <v>1096</v>
      </c>
      <c r="F13" s="18" t="s">
        <v>1097</v>
      </c>
      <c r="G13" s="18" t="s">
        <v>109</v>
      </c>
      <c r="H13" s="32" t="n">
        <v>46315</v>
      </c>
      <c r="I13" s="18" t="s">
        <v>684</v>
      </c>
      <c r="J13" s="18" t="s">
        <v>1081</v>
      </c>
    </row>
    <row r="14" customFormat="false" ht="35.05" hidden="false" customHeight="false" outlineLevel="0" collapsed="false">
      <c r="A14" s="18" t="s">
        <v>684</v>
      </c>
      <c r="B14" s="18" t="s">
        <v>1098</v>
      </c>
      <c r="C14" s="18"/>
      <c r="D14" s="18" t="s">
        <v>802</v>
      </c>
      <c r="E14" s="18" t="s">
        <v>1099</v>
      </c>
      <c r="F14" s="18" t="s">
        <v>1100</v>
      </c>
      <c r="G14" s="18" t="s">
        <v>109</v>
      </c>
      <c r="H14" s="32" t="n">
        <v>46315</v>
      </c>
      <c r="I14" s="18" t="s">
        <v>684</v>
      </c>
      <c r="J14" s="18" t="s">
        <v>1081</v>
      </c>
    </row>
    <row r="15" customFormat="false" ht="15" hidden="false" customHeight="false" outlineLevel="0" collapsed="false">
      <c r="A15" s="18" t="s">
        <v>684</v>
      </c>
      <c r="B15" s="18" t="s">
        <v>835</v>
      </c>
      <c r="C15" s="18"/>
      <c r="D15" s="18" t="s">
        <v>802</v>
      </c>
      <c r="E15" s="18" t="s">
        <v>1101</v>
      </c>
      <c r="F15" s="18" t="s">
        <v>1080</v>
      </c>
      <c r="G15" s="18" t="s">
        <v>109</v>
      </c>
      <c r="H15" s="32" t="n">
        <v>46315</v>
      </c>
      <c r="I15" s="18" t="s">
        <v>684</v>
      </c>
      <c r="J15" s="18" t="s">
        <v>1081</v>
      </c>
    </row>
    <row r="16" customFormat="false" ht="15" hidden="false" customHeight="false" outlineLevel="0" collapsed="false">
      <c r="A16" s="18" t="s">
        <v>684</v>
      </c>
      <c r="B16" s="18" t="s">
        <v>1102</v>
      </c>
      <c r="C16" s="18" t="s">
        <v>94</v>
      </c>
      <c r="D16" s="18" t="s">
        <v>802</v>
      </c>
      <c r="E16" s="18" t="s">
        <v>1103</v>
      </c>
      <c r="F16" s="18" t="s">
        <v>1104</v>
      </c>
      <c r="G16" s="18" t="s">
        <v>109</v>
      </c>
      <c r="H16" s="32" t="n">
        <v>46315</v>
      </c>
      <c r="I16" s="18" t="s">
        <v>684</v>
      </c>
      <c r="J16" s="18" t="s">
        <v>1081</v>
      </c>
    </row>
    <row r="17" customFormat="false" ht="23.85" hidden="false" customHeight="false" outlineLevel="0" collapsed="false">
      <c r="A17" s="18" t="s">
        <v>684</v>
      </c>
      <c r="B17" s="18" t="s">
        <v>1105</v>
      </c>
      <c r="C17" s="18"/>
      <c r="D17" s="18" t="s">
        <v>1084</v>
      </c>
      <c r="E17" s="18" t="s">
        <v>1106</v>
      </c>
      <c r="F17" s="18" t="s">
        <v>1107</v>
      </c>
      <c r="G17" s="18" t="s">
        <v>109</v>
      </c>
      <c r="H17" s="32" t="n">
        <v>46315</v>
      </c>
      <c r="I17" s="18" t="s">
        <v>684</v>
      </c>
      <c r="J17" s="18" t="s">
        <v>1081</v>
      </c>
    </row>
    <row r="18" customFormat="false" ht="15" hidden="false" customHeight="false" outlineLevel="0" collapsed="false">
      <c r="A18" s="18" t="s">
        <v>688</v>
      </c>
      <c r="B18" s="18" t="s">
        <v>1102</v>
      </c>
      <c r="C18" s="18" t="s">
        <v>94</v>
      </c>
      <c r="D18" s="18" t="s">
        <v>802</v>
      </c>
      <c r="E18" s="18" t="s">
        <v>1108</v>
      </c>
      <c r="F18" s="18" t="s">
        <v>1080</v>
      </c>
      <c r="G18" s="18" t="s">
        <v>109</v>
      </c>
      <c r="H18" s="32" t="n">
        <v>46315</v>
      </c>
      <c r="I18" s="18" t="s">
        <v>688</v>
      </c>
      <c r="J18" s="18" t="s">
        <v>1081</v>
      </c>
    </row>
    <row r="19" customFormat="false" ht="23.85" hidden="false" customHeight="false" outlineLevel="0" collapsed="false">
      <c r="A19" s="18" t="s">
        <v>688</v>
      </c>
      <c r="B19" s="18" t="s">
        <v>835</v>
      </c>
      <c r="C19" s="18"/>
      <c r="D19" s="18" t="s">
        <v>802</v>
      </c>
      <c r="E19" s="18" t="s">
        <v>1109</v>
      </c>
      <c r="F19" s="18" t="s">
        <v>1110</v>
      </c>
      <c r="G19" s="18" t="s">
        <v>109</v>
      </c>
      <c r="H19" s="32" t="n">
        <v>46315</v>
      </c>
      <c r="I19" s="18" t="s">
        <v>688</v>
      </c>
      <c r="J19" s="18" t="s">
        <v>1081</v>
      </c>
    </row>
    <row r="20" customFormat="false" ht="23.85" hidden="false" customHeight="false" outlineLevel="0" collapsed="false">
      <c r="A20" s="18" t="s">
        <v>688</v>
      </c>
      <c r="B20" s="18" t="s">
        <v>356</v>
      </c>
      <c r="C20" s="18"/>
      <c r="D20" s="18" t="s">
        <v>802</v>
      </c>
      <c r="E20" s="18" t="s">
        <v>1111</v>
      </c>
      <c r="F20" s="18" t="s">
        <v>1080</v>
      </c>
      <c r="G20" s="18" t="s">
        <v>109</v>
      </c>
      <c r="H20" s="32" t="n">
        <v>46315</v>
      </c>
      <c r="I20" s="18" t="s">
        <v>688</v>
      </c>
      <c r="J20" s="18" t="s">
        <v>1081</v>
      </c>
    </row>
    <row r="21" customFormat="false" ht="15" hidden="false" customHeight="false" outlineLevel="0" collapsed="false">
      <c r="A21" s="18" t="s">
        <v>688</v>
      </c>
      <c r="B21" s="18" t="s">
        <v>356</v>
      </c>
      <c r="C21" s="18"/>
      <c r="D21" s="18" t="s">
        <v>802</v>
      </c>
      <c r="E21" s="18" t="s">
        <v>1112</v>
      </c>
      <c r="F21" s="18" t="s">
        <v>1083</v>
      </c>
      <c r="G21" s="18" t="s">
        <v>109</v>
      </c>
      <c r="H21" s="32" t="n">
        <v>46315</v>
      </c>
      <c r="I21" s="18" t="s">
        <v>688</v>
      </c>
      <c r="J21" s="18" t="s">
        <v>1081</v>
      </c>
    </row>
    <row r="22" customFormat="false" ht="23.85" hidden="false" customHeight="false" outlineLevel="0" collapsed="false">
      <c r="A22" s="18" t="s">
        <v>688</v>
      </c>
      <c r="B22" s="18" t="s">
        <v>1113</v>
      </c>
      <c r="C22" s="18"/>
      <c r="D22" s="18" t="s">
        <v>1084</v>
      </c>
      <c r="E22" s="18" t="s">
        <v>1114</v>
      </c>
      <c r="F22" s="18" t="s">
        <v>1115</v>
      </c>
      <c r="G22" s="18" t="s">
        <v>109</v>
      </c>
      <c r="H22" s="32" t="n">
        <v>46315</v>
      </c>
      <c r="I22" s="18" t="s">
        <v>688</v>
      </c>
      <c r="J22" s="18" t="s">
        <v>1081</v>
      </c>
    </row>
    <row r="23" customFormat="false" ht="35.05" hidden="false" customHeight="false" outlineLevel="0" collapsed="false">
      <c r="A23" s="18" t="s">
        <v>690</v>
      </c>
      <c r="B23" s="18" t="s">
        <v>356</v>
      </c>
      <c r="C23" s="18"/>
      <c r="D23" s="18" t="s">
        <v>802</v>
      </c>
      <c r="E23" s="18" t="s">
        <v>1116</v>
      </c>
      <c r="F23" s="18" t="s">
        <v>1080</v>
      </c>
      <c r="G23" s="18" t="s">
        <v>109</v>
      </c>
      <c r="H23" s="32" t="n">
        <v>46315</v>
      </c>
      <c r="I23" s="18" t="s">
        <v>690</v>
      </c>
      <c r="J23" s="18" t="s">
        <v>1081</v>
      </c>
    </row>
    <row r="24" customFormat="false" ht="15" hidden="false" customHeight="false" outlineLevel="0" collapsed="false">
      <c r="A24" s="18" t="s">
        <v>690</v>
      </c>
      <c r="B24" s="18" t="s">
        <v>835</v>
      </c>
      <c r="C24" s="18"/>
      <c r="D24" s="18" t="s">
        <v>802</v>
      </c>
      <c r="E24" s="18" t="s">
        <v>1117</v>
      </c>
      <c r="F24" s="18" t="s">
        <v>1095</v>
      </c>
      <c r="G24" s="18" t="s">
        <v>109</v>
      </c>
      <c r="H24" s="32" t="n">
        <v>46315</v>
      </c>
      <c r="I24" s="18" t="s">
        <v>690</v>
      </c>
      <c r="J24" s="18" t="s">
        <v>1081</v>
      </c>
    </row>
    <row r="25" customFormat="false" ht="15" hidden="false" customHeight="false" outlineLevel="0" collapsed="false">
      <c r="A25" s="18" t="s">
        <v>690</v>
      </c>
      <c r="B25" s="18" t="s">
        <v>835</v>
      </c>
      <c r="C25" s="18"/>
      <c r="D25" s="18" t="s">
        <v>802</v>
      </c>
      <c r="E25" s="18" t="s">
        <v>1118</v>
      </c>
      <c r="F25" s="18" t="s">
        <v>1089</v>
      </c>
      <c r="G25" s="18" t="s">
        <v>109</v>
      </c>
      <c r="H25" s="32" t="n">
        <v>46315</v>
      </c>
      <c r="I25" s="18" t="s">
        <v>690</v>
      </c>
      <c r="J25" s="18" t="s">
        <v>1081</v>
      </c>
    </row>
    <row r="26" customFormat="false" ht="23.85" hidden="false" customHeight="false" outlineLevel="0" collapsed="false">
      <c r="A26" s="18" t="s">
        <v>690</v>
      </c>
      <c r="B26" s="18" t="s">
        <v>1119</v>
      </c>
      <c r="C26" s="18"/>
      <c r="D26" s="18" t="s">
        <v>1084</v>
      </c>
      <c r="E26" s="18" t="s">
        <v>1120</v>
      </c>
      <c r="F26" s="18" t="s">
        <v>1083</v>
      </c>
      <c r="G26" s="18" t="s">
        <v>109</v>
      </c>
      <c r="H26" s="32" t="n">
        <v>46315</v>
      </c>
      <c r="I26" s="18" t="s">
        <v>690</v>
      </c>
      <c r="J26" s="18" t="s">
        <v>1081</v>
      </c>
    </row>
    <row r="27" customFormat="false" ht="46.25" hidden="false" customHeight="false" outlineLevel="0" collapsed="false">
      <c r="A27" s="18" t="s">
        <v>692</v>
      </c>
      <c r="B27" s="18" t="s">
        <v>860</v>
      </c>
      <c r="C27" s="18"/>
      <c r="D27" s="18" t="s">
        <v>802</v>
      </c>
      <c r="E27" s="18" t="s">
        <v>1121</v>
      </c>
      <c r="F27" s="18" t="s">
        <v>1122</v>
      </c>
      <c r="G27" s="18" t="s">
        <v>109</v>
      </c>
      <c r="H27" s="32" t="n">
        <v>46315</v>
      </c>
      <c r="I27" s="18" t="s">
        <v>692</v>
      </c>
      <c r="J27" s="18" t="s">
        <v>1123</v>
      </c>
    </row>
    <row r="28" customFormat="false" ht="35.05" hidden="false" customHeight="false" outlineLevel="0" collapsed="false">
      <c r="A28" s="18" t="s">
        <v>692</v>
      </c>
      <c r="B28" s="18" t="s">
        <v>860</v>
      </c>
      <c r="C28" s="18"/>
      <c r="D28" s="18" t="s">
        <v>802</v>
      </c>
      <c r="E28" s="18" t="s">
        <v>1124</v>
      </c>
      <c r="F28" s="18" t="s">
        <v>1125</v>
      </c>
      <c r="G28" s="18" t="s">
        <v>109</v>
      </c>
      <c r="H28" s="32" t="n">
        <v>46315</v>
      </c>
      <c r="I28" s="18" t="s">
        <v>692</v>
      </c>
      <c r="J28" s="18" t="s">
        <v>1123</v>
      </c>
    </row>
    <row r="29" customFormat="false" ht="23.85" hidden="false" customHeight="false" outlineLevel="0" collapsed="false">
      <c r="A29" s="18" t="s">
        <v>692</v>
      </c>
      <c r="B29" s="18" t="s">
        <v>321</v>
      </c>
      <c r="C29" s="18" t="s">
        <v>292</v>
      </c>
      <c r="D29" s="18" t="s">
        <v>802</v>
      </c>
      <c r="E29" s="18" t="s">
        <v>1126</v>
      </c>
      <c r="F29" s="18" t="s">
        <v>1127</v>
      </c>
      <c r="G29" s="18" t="s">
        <v>109</v>
      </c>
      <c r="H29" s="32" t="n">
        <v>46315</v>
      </c>
      <c r="I29" s="18" t="s">
        <v>692</v>
      </c>
      <c r="J29" s="18" t="s">
        <v>1123</v>
      </c>
    </row>
    <row r="30" customFormat="false" ht="15" hidden="false" customHeight="false" outlineLevel="0" collapsed="false">
      <c r="A30" s="18" t="s">
        <v>692</v>
      </c>
      <c r="B30" s="18" t="s">
        <v>356</v>
      </c>
      <c r="C30" s="18"/>
      <c r="D30" s="18" t="s">
        <v>802</v>
      </c>
      <c r="E30" s="18" t="s">
        <v>1128</v>
      </c>
      <c r="F30" s="18" t="s">
        <v>1083</v>
      </c>
      <c r="G30" s="18" t="s">
        <v>109</v>
      </c>
      <c r="H30" s="32" t="n">
        <v>46315</v>
      </c>
      <c r="I30" s="18" t="s">
        <v>692</v>
      </c>
      <c r="J30" s="18" t="s">
        <v>1123</v>
      </c>
    </row>
    <row r="31" customFormat="false" ht="15" hidden="false" customHeight="false" outlineLevel="0" collapsed="false">
      <c r="A31" s="18" t="s">
        <v>692</v>
      </c>
      <c r="B31" s="18" t="s">
        <v>860</v>
      </c>
      <c r="C31" s="18"/>
      <c r="D31" s="18" t="s">
        <v>802</v>
      </c>
      <c r="E31" s="18" t="s">
        <v>1129</v>
      </c>
      <c r="F31" s="18" t="s">
        <v>1080</v>
      </c>
      <c r="G31" s="18" t="s">
        <v>109</v>
      </c>
      <c r="H31" s="32" t="n">
        <v>46315</v>
      </c>
      <c r="I31" s="18" t="s">
        <v>692</v>
      </c>
      <c r="J31" s="18" t="s">
        <v>1123</v>
      </c>
    </row>
    <row r="32" customFormat="false" ht="15" hidden="false" customHeight="false" outlineLevel="0" collapsed="false">
      <c r="A32" s="18" t="s">
        <v>692</v>
      </c>
      <c r="B32" s="18" t="s">
        <v>321</v>
      </c>
      <c r="C32" s="18" t="s">
        <v>292</v>
      </c>
      <c r="D32" s="18" t="s">
        <v>802</v>
      </c>
      <c r="E32" s="18" t="s">
        <v>1130</v>
      </c>
      <c r="F32" s="18" t="s">
        <v>1089</v>
      </c>
      <c r="G32" s="18" t="s">
        <v>109</v>
      </c>
      <c r="H32" s="32" t="n">
        <v>46315</v>
      </c>
      <c r="I32" s="18" t="s">
        <v>692</v>
      </c>
      <c r="J32" s="18" t="s">
        <v>1123</v>
      </c>
    </row>
    <row r="33" customFormat="false" ht="23.85" hidden="false" customHeight="false" outlineLevel="0" collapsed="false">
      <c r="A33" s="18" t="s">
        <v>697</v>
      </c>
      <c r="B33" s="18" t="s">
        <v>860</v>
      </c>
      <c r="C33" s="18"/>
      <c r="D33" s="18" t="s">
        <v>802</v>
      </c>
      <c r="E33" s="18" t="s">
        <v>1131</v>
      </c>
      <c r="F33" s="18" t="s">
        <v>1122</v>
      </c>
      <c r="G33" s="18" t="s">
        <v>109</v>
      </c>
      <c r="H33" s="32" t="n">
        <v>46315</v>
      </c>
      <c r="I33" s="18" t="s">
        <v>697</v>
      </c>
      <c r="J33" s="18" t="s">
        <v>1123</v>
      </c>
    </row>
    <row r="34" customFormat="false" ht="15" hidden="false" customHeight="false" outlineLevel="0" collapsed="false">
      <c r="A34" s="18" t="s">
        <v>697</v>
      </c>
      <c r="B34" s="18" t="s">
        <v>356</v>
      </c>
      <c r="C34" s="18"/>
      <c r="D34" s="18" t="s">
        <v>802</v>
      </c>
      <c r="E34" s="18" t="s">
        <v>1132</v>
      </c>
      <c r="F34" s="18" t="s">
        <v>1080</v>
      </c>
      <c r="G34" s="18" t="s">
        <v>109</v>
      </c>
      <c r="H34" s="32" t="n">
        <v>46315</v>
      </c>
      <c r="I34" s="18" t="s">
        <v>697</v>
      </c>
      <c r="J34" s="18" t="s">
        <v>1123</v>
      </c>
    </row>
    <row r="35" customFormat="false" ht="15" hidden="false" customHeight="false" outlineLevel="0" collapsed="false">
      <c r="A35" s="18" t="s">
        <v>697</v>
      </c>
      <c r="B35" s="18" t="s">
        <v>356</v>
      </c>
      <c r="C35" s="18"/>
      <c r="D35" s="18" t="s">
        <v>802</v>
      </c>
      <c r="E35" s="18" t="s">
        <v>1133</v>
      </c>
      <c r="F35" s="18" t="s">
        <v>1089</v>
      </c>
      <c r="G35" s="18" t="s">
        <v>109</v>
      </c>
      <c r="H35" s="32" t="n">
        <v>46315</v>
      </c>
      <c r="I35" s="18" t="s">
        <v>697</v>
      </c>
      <c r="J35" s="18" t="s">
        <v>1123</v>
      </c>
    </row>
    <row r="36" customFormat="false" ht="15" hidden="false" customHeight="false" outlineLevel="0" collapsed="false">
      <c r="A36" s="18" t="s">
        <v>697</v>
      </c>
      <c r="B36" s="18" t="s">
        <v>321</v>
      </c>
      <c r="C36" s="18" t="s">
        <v>292</v>
      </c>
      <c r="D36" s="18" t="s">
        <v>802</v>
      </c>
      <c r="E36" s="18" t="s">
        <v>1134</v>
      </c>
      <c r="F36" s="18" t="s">
        <v>1135</v>
      </c>
      <c r="G36" s="18" t="s">
        <v>109</v>
      </c>
      <c r="H36" s="32" t="n">
        <v>46315</v>
      </c>
      <c r="I36" s="18" t="s">
        <v>697</v>
      </c>
      <c r="J36" s="18" t="s">
        <v>1123</v>
      </c>
    </row>
    <row r="37" customFormat="false" ht="23.85" hidden="false" customHeight="false" outlineLevel="0" collapsed="false">
      <c r="A37" s="18" t="s">
        <v>697</v>
      </c>
      <c r="B37" s="18" t="s">
        <v>356</v>
      </c>
      <c r="C37" s="18"/>
      <c r="D37" s="18" t="s">
        <v>802</v>
      </c>
      <c r="E37" s="18" t="s">
        <v>1136</v>
      </c>
      <c r="F37" s="18" t="s">
        <v>1080</v>
      </c>
      <c r="G37" s="18" t="s">
        <v>109</v>
      </c>
      <c r="H37" s="32" t="n">
        <v>46315</v>
      </c>
      <c r="I37" s="18" t="s">
        <v>697</v>
      </c>
      <c r="J37" s="18" t="s">
        <v>1123</v>
      </c>
    </row>
    <row r="38" customFormat="false" ht="15" hidden="false" customHeight="false" outlineLevel="0" collapsed="false">
      <c r="A38" s="18" t="s">
        <v>697</v>
      </c>
      <c r="B38" s="18" t="s">
        <v>356</v>
      </c>
      <c r="C38" s="18"/>
      <c r="D38" s="18" t="s">
        <v>802</v>
      </c>
      <c r="E38" s="18" t="s">
        <v>1137</v>
      </c>
      <c r="F38" s="18" t="s">
        <v>1083</v>
      </c>
      <c r="G38" s="18" t="s">
        <v>109</v>
      </c>
      <c r="H38" s="32" t="n">
        <v>46315</v>
      </c>
      <c r="I38" s="18" t="s">
        <v>697</v>
      </c>
      <c r="J38" s="18" t="s">
        <v>1123</v>
      </c>
    </row>
    <row r="39" customFormat="false" ht="23.85" hidden="false" customHeight="false" outlineLevel="0" collapsed="false">
      <c r="A39" s="18" t="s">
        <v>699</v>
      </c>
      <c r="B39" s="18" t="s">
        <v>356</v>
      </c>
      <c r="C39" s="18"/>
      <c r="D39" s="18" t="s">
        <v>802</v>
      </c>
      <c r="E39" s="18" t="s">
        <v>1138</v>
      </c>
      <c r="F39" s="18" t="s">
        <v>1139</v>
      </c>
      <c r="G39" s="18" t="s">
        <v>109</v>
      </c>
      <c r="H39" s="32" t="n">
        <v>46315</v>
      </c>
      <c r="I39" s="18" t="s">
        <v>699</v>
      </c>
      <c r="J39" s="18" t="s">
        <v>1123</v>
      </c>
    </row>
    <row r="40" customFormat="false" ht="23.85" hidden="false" customHeight="false" outlineLevel="0" collapsed="false">
      <c r="A40" s="18" t="s">
        <v>699</v>
      </c>
      <c r="B40" s="18" t="s">
        <v>860</v>
      </c>
      <c r="C40" s="18"/>
      <c r="D40" s="18" t="s">
        <v>802</v>
      </c>
      <c r="E40" s="18" t="s">
        <v>1140</v>
      </c>
      <c r="F40" s="18" t="s">
        <v>1122</v>
      </c>
      <c r="G40" s="18" t="s">
        <v>109</v>
      </c>
      <c r="H40" s="32" t="n">
        <v>46315</v>
      </c>
      <c r="I40" s="18" t="s">
        <v>699</v>
      </c>
      <c r="J40" s="18" t="s">
        <v>1123</v>
      </c>
    </row>
    <row r="41" customFormat="false" ht="23.85" hidden="false" customHeight="false" outlineLevel="0" collapsed="false">
      <c r="A41" s="18" t="s">
        <v>699</v>
      </c>
      <c r="B41" s="18" t="s">
        <v>321</v>
      </c>
      <c r="C41" s="18" t="s">
        <v>292</v>
      </c>
      <c r="D41" s="18" t="s">
        <v>802</v>
      </c>
      <c r="E41" s="18" t="s">
        <v>1141</v>
      </c>
      <c r="F41" s="18" t="s">
        <v>1142</v>
      </c>
      <c r="G41" s="18" t="s">
        <v>109</v>
      </c>
      <c r="H41" s="32" t="n">
        <v>46315</v>
      </c>
      <c r="I41" s="18" t="s">
        <v>699</v>
      </c>
      <c r="J41" s="18" t="s">
        <v>1123</v>
      </c>
    </row>
    <row r="42" customFormat="false" ht="23.85" hidden="false" customHeight="false" outlineLevel="0" collapsed="false">
      <c r="A42" s="18" t="s">
        <v>705</v>
      </c>
      <c r="B42" s="18" t="s">
        <v>178</v>
      </c>
      <c r="C42" s="18" t="s">
        <v>168</v>
      </c>
      <c r="D42" s="18" t="s">
        <v>802</v>
      </c>
      <c r="E42" s="18" t="s">
        <v>1143</v>
      </c>
      <c r="F42" s="18" t="s">
        <v>1083</v>
      </c>
      <c r="G42" s="18" t="s">
        <v>109</v>
      </c>
      <c r="H42" s="32" t="n">
        <v>46315</v>
      </c>
      <c r="I42" s="18" t="s">
        <v>705</v>
      </c>
      <c r="J42" s="18" t="s">
        <v>1144</v>
      </c>
    </row>
    <row r="43" customFormat="false" ht="46.25" hidden="false" customHeight="false" outlineLevel="0" collapsed="false">
      <c r="A43" s="18" t="s">
        <v>705</v>
      </c>
      <c r="B43" s="18" t="s">
        <v>178</v>
      </c>
      <c r="C43" s="18" t="s">
        <v>168</v>
      </c>
      <c r="D43" s="18" t="s">
        <v>802</v>
      </c>
      <c r="E43" s="18" t="s">
        <v>1145</v>
      </c>
      <c r="F43" s="18" t="s">
        <v>1146</v>
      </c>
      <c r="G43" s="18" t="s">
        <v>109</v>
      </c>
      <c r="H43" s="32" t="n">
        <v>46315</v>
      </c>
      <c r="I43" s="18" t="s">
        <v>705</v>
      </c>
      <c r="J43" s="18" t="s">
        <v>1144</v>
      </c>
    </row>
    <row r="44" customFormat="false" ht="15" hidden="false" customHeight="false" outlineLevel="0" collapsed="false">
      <c r="A44" s="18" t="s">
        <v>705</v>
      </c>
      <c r="B44" s="18" t="s">
        <v>178</v>
      </c>
      <c r="C44" s="18" t="s">
        <v>168</v>
      </c>
      <c r="D44" s="18" t="s">
        <v>802</v>
      </c>
      <c r="E44" s="18" t="s">
        <v>1147</v>
      </c>
      <c r="F44" s="18" t="s">
        <v>1089</v>
      </c>
      <c r="G44" s="18" t="s">
        <v>109</v>
      </c>
      <c r="H44" s="32" t="n">
        <v>46315</v>
      </c>
      <c r="I44" s="18" t="s">
        <v>705</v>
      </c>
      <c r="J44" s="18" t="s">
        <v>1144</v>
      </c>
    </row>
    <row r="45" customFormat="false" ht="23.85" hidden="false" customHeight="false" outlineLevel="0" collapsed="false">
      <c r="A45" s="18" t="s">
        <v>705</v>
      </c>
      <c r="B45" s="18" t="s">
        <v>178</v>
      </c>
      <c r="C45" s="18" t="s">
        <v>168</v>
      </c>
      <c r="D45" s="18" t="s">
        <v>802</v>
      </c>
      <c r="E45" s="18" t="s">
        <v>1148</v>
      </c>
      <c r="F45" s="18" t="s">
        <v>1083</v>
      </c>
      <c r="G45" s="18" t="s">
        <v>109</v>
      </c>
      <c r="H45" s="32" t="n">
        <v>46315</v>
      </c>
      <c r="I45" s="18" t="s">
        <v>705</v>
      </c>
      <c r="J45" s="18" t="s">
        <v>1144</v>
      </c>
    </row>
    <row r="46" customFormat="false" ht="23.85" hidden="false" customHeight="false" outlineLevel="0" collapsed="false">
      <c r="A46" s="18" t="s">
        <v>710</v>
      </c>
      <c r="B46" s="18" t="s">
        <v>178</v>
      </c>
      <c r="C46" s="18" t="s">
        <v>168</v>
      </c>
      <c r="D46" s="18" t="s">
        <v>802</v>
      </c>
      <c r="E46" s="18" t="s">
        <v>1149</v>
      </c>
      <c r="F46" s="18" t="s">
        <v>1089</v>
      </c>
      <c r="G46" s="18" t="s">
        <v>109</v>
      </c>
      <c r="H46" s="32" t="n">
        <v>46315</v>
      </c>
      <c r="I46" s="18" t="s">
        <v>710</v>
      </c>
      <c r="J46" s="18" t="s">
        <v>1144</v>
      </c>
    </row>
    <row r="47" customFormat="false" ht="35.05" hidden="false" customHeight="false" outlineLevel="0" collapsed="false">
      <c r="A47" s="18" t="s">
        <v>710</v>
      </c>
      <c r="B47" s="18" t="s">
        <v>178</v>
      </c>
      <c r="C47" s="18" t="s">
        <v>168</v>
      </c>
      <c r="D47" s="18" t="s">
        <v>802</v>
      </c>
      <c r="E47" s="18" t="s">
        <v>1150</v>
      </c>
      <c r="F47" s="18" t="s">
        <v>1151</v>
      </c>
      <c r="G47" s="18" t="s">
        <v>109</v>
      </c>
      <c r="H47" s="32" t="n">
        <v>46315</v>
      </c>
      <c r="I47" s="18" t="s">
        <v>710</v>
      </c>
      <c r="J47" s="18" t="s">
        <v>1144</v>
      </c>
    </row>
    <row r="48" customFormat="false" ht="15" hidden="false" customHeight="false" outlineLevel="0" collapsed="false">
      <c r="A48" s="18" t="s">
        <v>710</v>
      </c>
      <c r="B48" s="18" t="s">
        <v>356</v>
      </c>
      <c r="C48" s="18"/>
      <c r="D48" s="18" t="s">
        <v>802</v>
      </c>
      <c r="E48" s="18" t="s">
        <v>1137</v>
      </c>
      <c r="F48" s="18" t="s">
        <v>1083</v>
      </c>
      <c r="G48" s="18" t="s">
        <v>109</v>
      </c>
      <c r="H48" s="32" t="n">
        <v>46315</v>
      </c>
      <c r="I48" s="18" t="s">
        <v>710</v>
      </c>
      <c r="J48" s="18" t="s">
        <v>1144</v>
      </c>
    </row>
    <row r="49" customFormat="false" ht="15" hidden="false" customHeight="false" outlineLevel="0" collapsed="false">
      <c r="A49" s="18" t="s">
        <v>712</v>
      </c>
      <c r="B49" s="18" t="s">
        <v>178</v>
      </c>
      <c r="C49" s="18" t="s">
        <v>168</v>
      </c>
      <c r="D49" s="18" t="s">
        <v>802</v>
      </c>
      <c r="E49" s="18" t="s">
        <v>1152</v>
      </c>
      <c r="F49" s="18" t="s">
        <v>1089</v>
      </c>
      <c r="G49" s="18" t="s">
        <v>109</v>
      </c>
      <c r="H49" s="32" t="n">
        <v>46315</v>
      </c>
      <c r="I49" s="18" t="s">
        <v>712</v>
      </c>
      <c r="J49" s="18" t="s">
        <v>1144</v>
      </c>
    </row>
    <row r="50" customFormat="false" ht="15" hidden="false" customHeight="false" outlineLevel="0" collapsed="false">
      <c r="A50" s="18" t="s">
        <v>712</v>
      </c>
      <c r="B50" s="18" t="s">
        <v>178</v>
      </c>
      <c r="C50" s="18" t="s">
        <v>168</v>
      </c>
      <c r="D50" s="18" t="s">
        <v>802</v>
      </c>
      <c r="E50" s="18" t="s">
        <v>1153</v>
      </c>
      <c r="F50" s="18" t="s">
        <v>1089</v>
      </c>
      <c r="G50" s="18" t="s">
        <v>109</v>
      </c>
      <c r="H50" s="32" t="n">
        <v>46315</v>
      </c>
      <c r="I50" s="18" t="s">
        <v>712</v>
      </c>
      <c r="J50" s="18" t="s">
        <v>1144</v>
      </c>
    </row>
    <row r="51" customFormat="false" ht="35.05" hidden="false" customHeight="false" outlineLevel="0" collapsed="false">
      <c r="A51" s="18" t="s">
        <v>712</v>
      </c>
      <c r="B51" s="18" t="s">
        <v>178</v>
      </c>
      <c r="C51" s="18" t="s">
        <v>168</v>
      </c>
      <c r="D51" s="18" t="s">
        <v>802</v>
      </c>
      <c r="E51" s="18" t="s">
        <v>1154</v>
      </c>
      <c r="F51" s="18" t="s">
        <v>1151</v>
      </c>
      <c r="G51" s="18" t="s">
        <v>109</v>
      </c>
      <c r="H51" s="32" t="n">
        <v>46315</v>
      </c>
      <c r="I51" s="18" t="s">
        <v>712</v>
      </c>
      <c r="J51" s="18" t="s">
        <v>1144</v>
      </c>
    </row>
    <row r="52" customFormat="false" ht="23.85" hidden="false" customHeight="false" outlineLevel="0" collapsed="false">
      <c r="A52" s="18" t="s">
        <v>714</v>
      </c>
      <c r="B52" s="18" t="s">
        <v>178</v>
      </c>
      <c r="C52" s="18" t="s">
        <v>168</v>
      </c>
      <c r="D52" s="18" t="s">
        <v>802</v>
      </c>
      <c r="E52" s="18" t="s">
        <v>1155</v>
      </c>
      <c r="F52" s="18" t="s">
        <v>1083</v>
      </c>
      <c r="G52" s="18" t="s">
        <v>109</v>
      </c>
      <c r="H52" s="32" t="n">
        <v>46315</v>
      </c>
      <c r="I52" s="18" t="s">
        <v>714</v>
      </c>
      <c r="J52" s="18" t="s">
        <v>1144</v>
      </c>
    </row>
    <row r="53" customFormat="false" ht="23.85" hidden="false" customHeight="false" outlineLevel="0" collapsed="false">
      <c r="A53" s="18" t="s">
        <v>714</v>
      </c>
      <c r="B53" s="18" t="s">
        <v>178</v>
      </c>
      <c r="C53" s="18" t="s">
        <v>168</v>
      </c>
      <c r="D53" s="18" t="s">
        <v>802</v>
      </c>
      <c r="E53" s="18" t="s">
        <v>1156</v>
      </c>
      <c r="F53" s="18" t="s">
        <v>1157</v>
      </c>
      <c r="G53" s="18" t="s">
        <v>109</v>
      </c>
      <c r="H53" s="32" t="n">
        <v>46315</v>
      </c>
      <c r="I53" s="18" t="s">
        <v>714</v>
      </c>
      <c r="J53" s="18" t="s">
        <v>1144</v>
      </c>
    </row>
    <row r="54" customFormat="false" ht="15" hidden="false" customHeight="false" outlineLevel="0" collapsed="false">
      <c r="A54" s="18" t="s">
        <v>714</v>
      </c>
      <c r="B54" s="18" t="s">
        <v>178</v>
      </c>
      <c r="C54" s="18" t="s">
        <v>168</v>
      </c>
      <c r="D54" s="18" t="s">
        <v>802</v>
      </c>
      <c r="E54" s="18" t="s">
        <v>1158</v>
      </c>
      <c r="F54" s="18" t="s">
        <v>1089</v>
      </c>
      <c r="G54" s="18" t="s">
        <v>109</v>
      </c>
      <c r="H54" s="32" t="n">
        <v>46315</v>
      </c>
      <c r="I54" s="18" t="s">
        <v>714</v>
      </c>
      <c r="J54" s="18" t="s">
        <v>1144</v>
      </c>
    </row>
    <row r="55" customFormat="false" ht="23.85" hidden="false" customHeight="false" outlineLevel="0" collapsed="false">
      <c r="A55" s="18" t="s">
        <v>716</v>
      </c>
      <c r="B55" s="18" t="s">
        <v>189</v>
      </c>
      <c r="C55" s="18" t="s">
        <v>168</v>
      </c>
      <c r="D55" s="18" t="s">
        <v>802</v>
      </c>
      <c r="E55" s="18" t="s">
        <v>1159</v>
      </c>
      <c r="F55" s="18" t="s">
        <v>1160</v>
      </c>
      <c r="G55" s="18" t="s">
        <v>109</v>
      </c>
      <c r="H55" s="32" t="n">
        <v>46315</v>
      </c>
      <c r="I55" s="18" t="s">
        <v>716</v>
      </c>
      <c r="J55" s="18" t="s">
        <v>1144</v>
      </c>
    </row>
    <row r="56" customFormat="false" ht="15" hidden="false" customHeight="false" outlineLevel="0" collapsed="false">
      <c r="A56" s="18" t="s">
        <v>716</v>
      </c>
      <c r="B56" s="18" t="s">
        <v>189</v>
      </c>
      <c r="C56" s="18" t="s">
        <v>168</v>
      </c>
      <c r="D56" s="18" t="s">
        <v>802</v>
      </c>
      <c r="E56" s="18" t="s">
        <v>1161</v>
      </c>
      <c r="F56" s="18" t="s">
        <v>1089</v>
      </c>
      <c r="G56" s="18" t="s">
        <v>109</v>
      </c>
      <c r="H56" s="32" t="n">
        <v>46315</v>
      </c>
      <c r="I56" s="18" t="s">
        <v>716</v>
      </c>
      <c r="J56" s="18" t="s">
        <v>1144</v>
      </c>
    </row>
    <row r="57" customFormat="false" ht="15" hidden="false" customHeight="false" outlineLevel="0" collapsed="false">
      <c r="A57" s="18" t="s">
        <v>716</v>
      </c>
      <c r="B57" s="18" t="s">
        <v>189</v>
      </c>
      <c r="C57" s="18" t="s">
        <v>168</v>
      </c>
      <c r="D57" s="18" t="s">
        <v>802</v>
      </c>
      <c r="E57" s="18" t="s">
        <v>1162</v>
      </c>
      <c r="F57" s="18" t="s">
        <v>1083</v>
      </c>
      <c r="G57" s="18" t="s">
        <v>109</v>
      </c>
      <c r="H57" s="32" t="n">
        <v>46315</v>
      </c>
      <c r="I57" s="18" t="s">
        <v>716</v>
      </c>
      <c r="J57" s="18" t="s">
        <v>1144</v>
      </c>
    </row>
    <row r="58" customFormat="false" ht="15" hidden="false" customHeight="false" outlineLevel="0" collapsed="false">
      <c r="A58" s="18" t="s">
        <v>716</v>
      </c>
      <c r="B58" s="18" t="s">
        <v>909</v>
      </c>
      <c r="C58" s="18"/>
      <c r="D58" s="18" t="s">
        <v>802</v>
      </c>
      <c r="E58" s="18" t="s">
        <v>1163</v>
      </c>
      <c r="F58" s="18" t="s">
        <v>1164</v>
      </c>
      <c r="G58" s="18" t="s">
        <v>109</v>
      </c>
      <c r="H58" s="32" t="n">
        <v>46315</v>
      </c>
      <c r="I58" s="18" t="s">
        <v>716</v>
      </c>
      <c r="J58" s="18" t="s">
        <v>1144</v>
      </c>
    </row>
    <row r="59" customFormat="false" ht="15" hidden="false" customHeight="false" outlineLevel="0" collapsed="false">
      <c r="A59" s="18" t="s">
        <v>716</v>
      </c>
      <c r="B59" s="18" t="s">
        <v>189</v>
      </c>
      <c r="C59" s="18" t="s">
        <v>168</v>
      </c>
      <c r="D59" s="18" t="s">
        <v>802</v>
      </c>
      <c r="E59" s="18" t="s">
        <v>1165</v>
      </c>
      <c r="F59" s="18" t="s">
        <v>1083</v>
      </c>
      <c r="G59" s="18" t="s">
        <v>109</v>
      </c>
      <c r="H59" s="32" t="n">
        <v>46315</v>
      </c>
      <c r="I59" s="18" t="s">
        <v>716</v>
      </c>
      <c r="J59" s="18" t="s">
        <v>1144</v>
      </c>
    </row>
    <row r="60" customFormat="false" ht="23.85" hidden="false" customHeight="false" outlineLevel="0" collapsed="false">
      <c r="A60" s="18" t="s">
        <v>719</v>
      </c>
      <c r="B60" s="18" t="s">
        <v>189</v>
      </c>
      <c r="C60" s="18" t="s">
        <v>168</v>
      </c>
      <c r="D60" s="18" t="s">
        <v>802</v>
      </c>
      <c r="E60" s="18" t="s">
        <v>1166</v>
      </c>
      <c r="F60" s="18" t="s">
        <v>1089</v>
      </c>
      <c r="G60" s="18" t="s">
        <v>109</v>
      </c>
      <c r="H60" s="32" t="n">
        <v>46315</v>
      </c>
      <c r="I60" s="18" t="s">
        <v>719</v>
      </c>
      <c r="J60" s="18" t="s">
        <v>1144</v>
      </c>
    </row>
    <row r="61" customFormat="false" ht="23.85" hidden="false" customHeight="false" outlineLevel="0" collapsed="false">
      <c r="A61" s="18" t="s">
        <v>719</v>
      </c>
      <c r="B61" s="18" t="s">
        <v>189</v>
      </c>
      <c r="C61" s="18" t="s">
        <v>168</v>
      </c>
      <c r="D61" s="18" t="s">
        <v>802</v>
      </c>
      <c r="E61" s="18" t="s">
        <v>1167</v>
      </c>
      <c r="F61" s="18" t="s">
        <v>1168</v>
      </c>
      <c r="G61" s="18" t="s">
        <v>109</v>
      </c>
      <c r="H61" s="32" t="n">
        <v>46315</v>
      </c>
      <c r="I61" s="18" t="s">
        <v>719</v>
      </c>
      <c r="J61" s="18" t="s">
        <v>1144</v>
      </c>
    </row>
    <row r="62" customFormat="false" ht="15" hidden="false" customHeight="false" outlineLevel="0" collapsed="false">
      <c r="A62" s="18" t="s">
        <v>719</v>
      </c>
      <c r="B62" s="18" t="s">
        <v>356</v>
      </c>
      <c r="C62" s="18"/>
      <c r="D62" s="18" t="s">
        <v>802</v>
      </c>
      <c r="E62" s="18" t="s">
        <v>1137</v>
      </c>
      <c r="F62" s="18" t="s">
        <v>1083</v>
      </c>
      <c r="G62" s="18" t="s">
        <v>109</v>
      </c>
      <c r="H62" s="32" t="n">
        <v>46315</v>
      </c>
      <c r="I62" s="18" t="s">
        <v>719</v>
      </c>
      <c r="J62" s="18" t="s">
        <v>1144</v>
      </c>
    </row>
    <row r="63" customFormat="false" ht="23.85" hidden="false" customHeight="false" outlineLevel="0" collapsed="false">
      <c r="A63" s="18" t="s">
        <v>721</v>
      </c>
      <c r="B63" s="18" t="s">
        <v>189</v>
      </c>
      <c r="C63" s="18" t="s">
        <v>168</v>
      </c>
      <c r="D63" s="18" t="s">
        <v>802</v>
      </c>
      <c r="E63" s="18" t="s">
        <v>1169</v>
      </c>
      <c r="F63" s="18" t="s">
        <v>1160</v>
      </c>
      <c r="G63" s="18" t="s">
        <v>109</v>
      </c>
      <c r="H63" s="32" t="n">
        <v>46315</v>
      </c>
      <c r="I63" s="18" t="s">
        <v>721</v>
      </c>
      <c r="J63" s="18" t="s">
        <v>1144</v>
      </c>
    </row>
    <row r="64" customFormat="false" ht="23.85" hidden="false" customHeight="false" outlineLevel="0" collapsed="false">
      <c r="A64" s="18" t="s">
        <v>721</v>
      </c>
      <c r="B64" s="18" t="s">
        <v>189</v>
      </c>
      <c r="C64" s="18" t="s">
        <v>168</v>
      </c>
      <c r="D64" s="18" t="s">
        <v>802</v>
      </c>
      <c r="E64" s="18" t="s">
        <v>1170</v>
      </c>
      <c r="F64" s="18" t="s">
        <v>1080</v>
      </c>
      <c r="G64" s="18" t="s">
        <v>109</v>
      </c>
      <c r="H64" s="32" t="n">
        <v>46315</v>
      </c>
      <c r="I64" s="18" t="s">
        <v>721</v>
      </c>
      <c r="J64" s="18" t="s">
        <v>1144</v>
      </c>
    </row>
    <row r="65" customFormat="false" ht="15" hidden="false" customHeight="false" outlineLevel="0" collapsed="false">
      <c r="A65" s="18" t="s">
        <v>721</v>
      </c>
      <c r="B65" s="18" t="s">
        <v>189</v>
      </c>
      <c r="C65" s="18" t="s">
        <v>168</v>
      </c>
      <c r="D65" s="18" t="s">
        <v>802</v>
      </c>
      <c r="E65" s="18" t="s">
        <v>1171</v>
      </c>
      <c r="F65" s="18" t="s">
        <v>1089</v>
      </c>
      <c r="G65" s="18" t="s">
        <v>109</v>
      </c>
      <c r="H65" s="32" t="n">
        <v>46315</v>
      </c>
      <c r="I65" s="18" t="s">
        <v>721</v>
      </c>
      <c r="J65" s="18" t="s">
        <v>1144</v>
      </c>
    </row>
    <row r="66" customFormat="false" ht="23.85" hidden="false" customHeight="false" outlineLevel="0" collapsed="false">
      <c r="A66" s="18" t="s">
        <v>723</v>
      </c>
      <c r="B66" s="18" t="s">
        <v>189</v>
      </c>
      <c r="C66" s="18" t="s">
        <v>168</v>
      </c>
      <c r="D66" s="18" t="s">
        <v>802</v>
      </c>
      <c r="E66" s="18" t="s">
        <v>1172</v>
      </c>
      <c r="F66" s="18" t="s">
        <v>1083</v>
      </c>
      <c r="G66" s="18" t="s">
        <v>109</v>
      </c>
      <c r="H66" s="32" t="n">
        <v>46315</v>
      </c>
      <c r="I66" s="18" t="s">
        <v>723</v>
      </c>
      <c r="J66" s="18" t="s">
        <v>1144</v>
      </c>
    </row>
    <row r="67" customFormat="false" ht="23.85" hidden="false" customHeight="false" outlineLevel="0" collapsed="false">
      <c r="A67" s="18" t="s">
        <v>723</v>
      </c>
      <c r="B67" s="18" t="s">
        <v>189</v>
      </c>
      <c r="C67" s="18" t="s">
        <v>168</v>
      </c>
      <c r="D67" s="18" t="s">
        <v>802</v>
      </c>
      <c r="E67" s="18" t="s">
        <v>1173</v>
      </c>
      <c r="F67" s="18" t="s">
        <v>1157</v>
      </c>
      <c r="G67" s="18" t="s">
        <v>109</v>
      </c>
      <c r="H67" s="32" t="n">
        <v>46315</v>
      </c>
      <c r="I67" s="18" t="s">
        <v>723</v>
      </c>
      <c r="J67" s="18" t="s">
        <v>1144</v>
      </c>
    </row>
    <row r="68" customFormat="false" ht="15" hidden="false" customHeight="false" outlineLevel="0" collapsed="false">
      <c r="A68" s="18" t="s">
        <v>723</v>
      </c>
      <c r="B68" s="18" t="s">
        <v>189</v>
      </c>
      <c r="C68" s="18" t="s">
        <v>168</v>
      </c>
      <c r="D68" s="18" t="s">
        <v>802</v>
      </c>
      <c r="E68" s="18" t="s">
        <v>1174</v>
      </c>
      <c r="F68" s="18" t="s">
        <v>1089</v>
      </c>
      <c r="G68" s="18" t="s">
        <v>109</v>
      </c>
      <c r="H68" s="32" t="n">
        <v>46315</v>
      </c>
      <c r="I68" s="18" t="s">
        <v>723</v>
      </c>
      <c r="J68" s="18" t="s">
        <v>1144</v>
      </c>
    </row>
    <row r="69" customFormat="false" ht="46.25" hidden="false" customHeight="false" outlineLevel="0" collapsed="false">
      <c r="A69" s="18" t="s">
        <v>725</v>
      </c>
      <c r="B69" s="18" t="s">
        <v>93</v>
      </c>
      <c r="C69" s="18" t="s">
        <v>94</v>
      </c>
      <c r="D69" s="18" t="s">
        <v>802</v>
      </c>
      <c r="E69" s="18" t="s">
        <v>1175</v>
      </c>
      <c r="F69" s="18" t="s">
        <v>1080</v>
      </c>
      <c r="G69" s="18" t="s">
        <v>109</v>
      </c>
      <c r="H69" s="32" t="n">
        <v>46315</v>
      </c>
      <c r="I69" s="18" t="s">
        <v>725</v>
      </c>
      <c r="J69" s="18" t="s">
        <v>1176</v>
      </c>
    </row>
    <row r="70" customFormat="false" ht="23.85" hidden="false" customHeight="false" outlineLevel="0" collapsed="false">
      <c r="A70" s="18" t="s">
        <v>725</v>
      </c>
      <c r="B70" s="18" t="s">
        <v>93</v>
      </c>
      <c r="C70" s="18" t="s">
        <v>94</v>
      </c>
      <c r="D70" s="18" t="s">
        <v>802</v>
      </c>
      <c r="E70" s="18" t="s">
        <v>1177</v>
      </c>
      <c r="F70" s="18" t="s">
        <v>1178</v>
      </c>
      <c r="G70" s="18" t="s">
        <v>109</v>
      </c>
      <c r="H70" s="32" t="n">
        <v>46315</v>
      </c>
      <c r="I70" s="18" t="s">
        <v>725</v>
      </c>
      <c r="J70" s="18" t="s">
        <v>1176</v>
      </c>
    </row>
    <row r="71" customFormat="false" ht="15" hidden="false" customHeight="false" outlineLevel="0" collapsed="false">
      <c r="A71" s="18" t="s">
        <v>725</v>
      </c>
      <c r="B71" s="18" t="s">
        <v>93</v>
      </c>
      <c r="C71" s="18" t="s">
        <v>94</v>
      </c>
      <c r="D71" s="18" t="s">
        <v>802</v>
      </c>
      <c r="E71" s="18" t="s">
        <v>1179</v>
      </c>
      <c r="F71" s="18" t="s">
        <v>1089</v>
      </c>
      <c r="G71" s="18" t="s">
        <v>109</v>
      </c>
      <c r="H71" s="32" t="n">
        <v>46315</v>
      </c>
      <c r="I71" s="18" t="s">
        <v>725</v>
      </c>
      <c r="J71" s="18" t="s">
        <v>1176</v>
      </c>
    </row>
    <row r="72" customFormat="false" ht="23.85" hidden="false" customHeight="false" outlineLevel="0" collapsed="false">
      <c r="A72" s="18" t="s">
        <v>942</v>
      </c>
      <c r="B72" s="18" t="s">
        <v>93</v>
      </c>
      <c r="C72" s="18" t="s">
        <v>94</v>
      </c>
      <c r="D72" s="18" t="s">
        <v>802</v>
      </c>
      <c r="E72" s="18" t="s">
        <v>1180</v>
      </c>
      <c r="F72" s="18" t="s">
        <v>1089</v>
      </c>
      <c r="G72" s="18" t="s">
        <v>109</v>
      </c>
      <c r="H72" s="32" t="n">
        <v>46315</v>
      </c>
      <c r="I72" s="18" t="s">
        <v>725</v>
      </c>
      <c r="J72" s="18" t="s">
        <v>1176</v>
      </c>
    </row>
    <row r="73" customFormat="false" ht="23.85" hidden="false" customHeight="false" outlineLevel="0" collapsed="false">
      <c r="A73" s="18" t="s">
        <v>942</v>
      </c>
      <c r="B73" s="18" t="s">
        <v>93</v>
      </c>
      <c r="C73" s="18" t="s">
        <v>94</v>
      </c>
      <c r="D73" s="18" t="s">
        <v>802</v>
      </c>
      <c r="E73" s="18" t="s">
        <v>1181</v>
      </c>
      <c r="F73" s="18" t="s">
        <v>1083</v>
      </c>
      <c r="G73" s="18" t="s">
        <v>109</v>
      </c>
      <c r="H73" s="32" t="n">
        <v>46315</v>
      </c>
      <c r="I73" s="18" t="s">
        <v>725</v>
      </c>
      <c r="J73" s="18" t="s">
        <v>1176</v>
      </c>
    </row>
    <row r="74" customFormat="false" ht="23.85" hidden="false" customHeight="false" outlineLevel="0" collapsed="false">
      <c r="A74" s="18" t="s">
        <v>942</v>
      </c>
      <c r="B74" s="18" t="s">
        <v>93</v>
      </c>
      <c r="C74" s="18" t="s">
        <v>94</v>
      </c>
      <c r="D74" s="18" t="s">
        <v>802</v>
      </c>
      <c r="E74" s="18" t="s">
        <v>1182</v>
      </c>
      <c r="F74" s="18" t="s">
        <v>1183</v>
      </c>
      <c r="G74" s="18" t="s">
        <v>109</v>
      </c>
      <c r="H74" s="32" t="n">
        <v>46315</v>
      </c>
      <c r="I74" s="18" t="s">
        <v>725</v>
      </c>
      <c r="J74" s="18" t="s">
        <v>1176</v>
      </c>
    </row>
    <row r="75" customFormat="false" ht="23.85" hidden="false" customHeight="false" outlineLevel="0" collapsed="false">
      <c r="A75" s="18" t="s">
        <v>950</v>
      </c>
      <c r="B75" s="18" t="s">
        <v>93</v>
      </c>
      <c r="C75" s="18" t="s">
        <v>94</v>
      </c>
      <c r="D75" s="18" t="s">
        <v>802</v>
      </c>
      <c r="E75" s="18" t="s">
        <v>1184</v>
      </c>
      <c r="F75" s="18" t="s">
        <v>1080</v>
      </c>
      <c r="G75" s="18" t="s">
        <v>109</v>
      </c>
      <c r="H75" s="32" t="n">
        <v>46315</v>
      </c>
      <c r="I75" s="18" t="s">
        <v>725</v>
      </c>
      <c r="J75" s="18" t="s">
        <v>1176</v>
      </c>
    </row>
    <row r="76" customFormat="false" ht="23.85" hidden="false" customHeight="false" outlineLevel="0" collapsed="false">
      <c r="A76" s="18" t="s">
        <v>950</v>
      </c>
      <c r="B76" s="18" t="s">
        <v>93</v>
      </c>
      <c r="C76" s="18" t="s">
        <v>94</v>
      </c>
      <c r="D76" s="18" t="s">
        <v>802</v>
      </c>
      <c r="E76" s="18" t="s">
        <v>1185</v>
      </c>
      <c r="F76" s="18" t="s">
        <v>1186</v>
      </c>
      <c r="G76" s="18" t="s">
        <v>109</v>
      </c>
      <c r="H76" s="32" t="n">
        <v>46315</v>
      </c>
      <c r="I76" s="18" t="s">
        <v>725</v>
      </c>
      <c r="J76" s="18" t="s">
        <v>1176</v>
      </c>
    </row>
    <row r="77" customFormat="false" ht="23.85" hidden="false" customHeight="false" outlineLevel="0" collapsed="false">
      <c r="A77" s="18" t="s">
        <v>958</v>
      </c>
      <c r="B77" s="18" t="s">
        <v>93</v>
      </c>
      <c r="C77" s="18" t="s">
        <v>94</v>
      </c>
      <c r="D77" s="18" t="s">
        <v>802</v>
      </c>
      <c r="E77" s="18" t="s">
        <v>1187</v>
      </c>
      <c r="F77" s="18" t="s">
        <v>1157</v>
      </c>
      <c r="G77" s="18" t="s">
        <v>109</v>
      </c>
      <c r="H77" s="32" t="n">
        <v>46315</v>
      </c>
      <c r="I77" s="18" t="s">
        <v>725</v>
      </c>
      <c r="J77" s="18" t="s">
        <v>1176</v>
      </c>
    </row>
    <row r="78" customFormat="false" ht="35.05" hidden="false" customHeight="false" outlineLevel="0" collapsed="false">
      <c r="A78" s="18" t="s">
        <v>958</v>
      </c>
      <c r="B78" s="18" t="s">
        <v>93</v>
      </c>
      <c r="C78" s="18" t="s">
        <v>94</v>
      </c>
      <c r="D78" s="18" t="s">
        <v>802</v>
      </c>
      <c r="E78" s="18" t="s">
        <v>1188</v>
      </c>
      <c r="F78" s="18" t="s">
        <v>1189</v>
      </c>
      <c r="G78" s="18" t="s">
        <v>109</v>
      </c>
      <c r="H78" s="32" t="n">
        <v>46315</v>
      </c>
      <c r="I78" s="18" t="s">
        <v>725</v>
      </c>
      <c r="J78" s="18" t="s">
        <v>1176</v>
      </c>
    </row>
    <row r="79" customFormat="false" ht="15" hidden="false" customHeight="false" outlineLevel="0" collapsed="false">
      <c r="A79" s="18" t="s">
        <v>958</v>
      </c>
      <c r="B79" s="18" t="s">
        <v>93</v>
      </c>
      <c r="C79" s="18" t="s">
        <v>94</v>
      </c>
      <c r="D79" s="18" t="s">
        <v>802</v>
      </c>
      <c r="E79" s="18" t="s">
        <v>1190</v>
      </c>
      <c r="F79" s="18" t="s">
        <v>1089</v>
      </c>
      <c r="G79" s="18" t="s">
        <v>109</v>
      </c>
      <c r="H79" s="32" t="n">
        <v>46315</v>
      </c>
      <c r="I79" s="18" t="s">
        <v>725</v>
      </c>
      <c r="J79" s="18" t="s">
        <v>1176</v>
      </c>
    </row>
    <row r="80" customFormat="false" ht="68.65" hidden="false" customHeight="false" outlineLevel="0" collapsed="false">
      <c r="A80" s="18" t="s">
        <v>732</v>
      </c>
      <c r="B80" s="18" t="s">
        <v>167</v>
      </c>
      <c r="C80" s="18" t="s">
        <v>168</v>
      </c>
      <c r="D80" s="18" t="s">
        <v>802</v>
      </c>
      <c r="E80" s="18" t="s">
        <v>1191</v>
      </c>
      <c r="F80" s="18" t="s">
        <v>1192</v>
      </c>
      <c r="G80" s="18" t="s">
        <v>109</v>
      </c>
      <c r="H80" s="32" t="n">
        <v>46315</v>
      </c>
      <c r="I80" s="18" t="s">
        <v>732</v>
      </c>
      <c r="J80" s="18" t="s">
        <v>1176</v>
      </c>
    </row>
    <row r="81" customFormat="false" ht="23.85" hidden="false" customHeight="false" outlineLevel="0" collapsed="false">
      <c r="A81" s="18" t="s">
        <v>732</v>
      </c>
      <c r="B81" s="18" t="s">
        <v>167</v>
      </c>
      <c r="C81" s="18" t="s">
        <v>168</v>
      </c>
      <c r="D81" s="18" t="s">
        <v>802</v>
      </c>
      <c r="E81" s="18" t="s">
        <v>1193</v>
      </c>
      <c r="F81" s="18" t="s">
        <v>1194</v>
      </c>
      <c r="G81" s="18" t="s">
        <v>109</v>
      </c>
      <c r="H81" s="32" t="n">
        <v>46315</v>
      </c>
      <c r="I81" s="18" t="s">
        <v>732</v>
      </c>
      <c r="J81" s="18" t="s">
        <v>1176</v>
      </c>
    </row>
    <row r="82" customFormat="false" ht="23.85" hidden="false" customHeight="false" outlineLevel="0" collapsed="false">
      <c r="A82" s="18" t="s">
        <v>732</v>
      </c>
      <c r="B82" s="18" t="s">
        <v>167</v>
      </c>
      <c r="C82" s="18" t="s">
        <v>168</v>
      </c>
      <c r="D82" s="18" t="s">
        <v>802</v>
      </c>
      <c r="E82" s="18" t="s">
        <v>1195</v>
      </c>
      <c r="F82" s="18" t="s">
        <v>1196</v>
      </c>
      <c r="G82" s="18" t="s">
        <v>109</v>
      </c>
      <c r="H82" s="32" t="n">
        <v>46315</v>
      </c>
      <c r="I82" s="18" t="s">
        <v>732</v>
      </c>
      <c r="J82" s="18" t="s">
        <v>1176</v>
      </c>
    </row>
    <row r="83" customFormat="false" ht="23.85" hidden="false" customHeight="false" outlineLevel="0" collapsed="false">
      <c r="A83" s="18" t="s">
        <v>732</v>
      </c>
      <c r="B83" s="18" t="s">
        <v>167</v>
      </c>
      <c r="C83" s="18" t="s">
        <v>168</v>
      </c>
      <c r="D83" s="18" t="s">
        <v>802</v>
      </c>
      <c r="E83" s="18" t="s">
        <v>1197</v>
      </c>
      <c r="F83" s="18" t="s">
        <v>1198</v>
      </c>
      <c r="G83" s="18" t="s">
        <v>109</v>
      </c>
      <c r="H83" s="32" t="n">
        <v>46315</v>
      </c>
      <c r="I83" s="18" t="s">
        <v>732</v>
      </c>
      <c r="J83" s="18" t="s">
        <v>1176</v>
      </c>
    </row>
    <row r="84" customFormat="false" ht="15" hidden="false" customHeight="false" outlineLevel="0" collapsed="false">
      <c r="A84" s="18" t="s">
        <v>974</v>
      </c>
      <c r="B84" s="18" t="s">
        <v>167</v>
      </c>
      <c r="C84" s="18" t="s">
        <v>168</v>
      </c>
      <c r="D84" s="18" t="s">
        <v>802</v>
      </c>
      <c r="E84" s="18" t="s">
        <v>1199</v>
      </c>
      <c r="F84" s="18" t="s">
        <v>1089</v>
      </c>
      <c r="G84" s="18" t="s">
        <v>109</v>
      </c>
      <c r="H84" s="32" t="n">
        <v>46315</v>
      </c>
      <c r="I84" s="18" t="s">
        <v>732</v>
      </c>
      <c r="J84" s="18" t="s">
        <v>1176</v>
      </c>
    </row>
    <row r="85" customFormat="false" ht="23.85" hidden="false" customHeight="false" outlineLevel="0" collapsed="false">
      <c r="A85" s="18" t="s">
        <v>974</v>
      </c>
      <c r="B85" s="18" t="s">
        <v>167</v>
      </c>
      <c r="C85" s="18" t="s">
        <v>168</v>
      </c>
      <c r="D85" s="18" t="s">
        <v>802</v>
      </c>
      <c r="E85" s="18" t="s">
        <v>1200</v>
      </c>
      <c r="F85" s="18" t="s">
        <v>1157</v>
      </c>
      <c r="G85" s="18" t="s">
        <v>109</v>
      </c>
      <c r="H85" s="32" t="n">
        <v>46315</v>
      </c>
      <c r="I85" s="18" t="s">
        <v>732</v>
      </c>
      <c r="J85" s="18" t="s">
        <v>1176</v>
      </c>
    </row>
    <row r="86" customFormat="false" ht="15" hidden="false" customHeight="false" outlineLevel="0" collapsed="false">
      <c r="A86" s="18" t="s">
        <v>974</v>
      </c>
      <c r="B86" s="18" t="s">
        <v>167</v>
      </c>
      <c r="C86" s="18" t="s">
        <v>168</v>
      </c>
      <c r="D86" s="18" t="s">
        <v>802</v>
      </c>
      <c r="E86" s="18" t="s">
        <v>1201</v>
      </c>
      <c r="F86" s="18" t="s">
        <v>1089</v>
      </c>
      <c r="G86" s="18" t="s">
        <v>109</v>
      </c>
      <c r="H86" s="32" t="n">
        <v>46315</v>
      </c>
      <c r="I86" s="18" t="s">
        <v>732</v>
      </c>
      <c r="J86" s="18" t="s">
        <v>1176</v>
      </c>
    </row>
    <row r="87" customFormat="false" ht="23.85" hidden="false" customHeight="false" outlineLevel="0" collapsed="false">
      <c r="A87" s="18" t="s">
        <v>982</v>
      </c>
      <c r="B87" s="18" t="s">
        <v>167</v>
      </c>
      <c r="C87" s="18" t="s">
        <v>168</v>
      </c>
      <c r="D87" s="18" t="s">
        <v>802</v>
      </c>
      <c r="E87" s="18" t="s">
        <v>1202</v>
      </c>
      <c r="F87" s="18" t="s">
        <v>1080</v>
      </c>
      <c r="G87" s="18" t="s">
        <v>109</v>
      </c>
      <c r="H87" s="32" t="n">
        <v>46315</v>
      </c>
      <c r="I87" s="18" t="s">
        <v>732</v>
      </c>
      <c r="J87" s="18" t="s">
        <v>1176</v>
      </c>
    </row>
    <row r="88" customFormat="false" ht="23.85" hidden="false" customHeight="false" outlineLevel="0" collapsed="false">
      <c r="A88" s="18" t="s">
        <v>982</v>
      </c>
      <c r="B88" s="18" t="s">
        <v>167</v>
      </c>
      <c r="C88" s="18" t="s">
        <v>168</v>
      </c>
      <c r="D88" s="18" t="s">
        <v>802</v>
      </c>
      <c r="E88" s="18" t="s">
        <v>1203</v>
      </c>
      <c r="F88" s="18" t="s">
        <v>1080</v>
      </c>
      <c r="G88" s="18" t="s">
        <v>109</v>
      </c>
      <c r="H88" s="32" t="n">
        <v>46315</v>
      </c>
      <c r="I88" s="18" t="s">
        <v>732</v>
      </c>
      <c r="J88" s="18" t="s">
        <v>1176</v>
      </c>
    </row>
    <row r="89" customFormat="false" ht="23.85" hidden="false" customHeight="false" outlineLevel="0" collapsed="false">
      <c r="A89" s="18" t="s">
        <v>989</v>
      </c>
      <c r="B89" s="18" t="s">
        <v>167</v>
      </c>
      <c r="C89" s="18" t="s">
        <v>168</v>
      </c>
      <c r="D89" s="18" t="s">
        <v>802</v>
      </c>
      <c r="E89" s="18" t="s">
        <v>1204</v>
      </c>
      <c r="F89" s="18" t="s">
        <v>1157</v>
      </c>
      <c r="G89" s="18" t="s">
        <v>109</v>
      </c>
      <c r="H89" s="32" t="n">
        <v>46315</v>
      </c>
      <c r="I89" s="18" t="s">
        <v>732</v>
      </c>
      <c r="J89" s="18" t="s">
        <v>1176</v>
      </c>
    </row>
    <row r="90" customFormat="false" ht="23.85" hidden="false" customHeight="false" outlineLevel="0" collapsed="false">
      <c r="A90" s="18" t="s">
        <v>989</v>
      </c>
      <c r="B90" s="18" t="s">
        <v>167</v>
      </c>
      <c r="C90" s="18" t="s">
        <v>168</v>
      </c>
      <c r="D90" s="18" t="s">
        <v>802</v>
      </c>
      <c r="E90" s="18" t="s">
        <v>1205</v>
      </c>
      <c r="F90" s="18" t="s">
        <v>1089</v>
      </c>
      <c r="G90" s="18" t="s">
        <v>109</v>
      </c>
      <c r="H90" s="32" t="n">
        <v>46315</v>
      </c>
      <c r="I90" s="18" t="s">
        <v>732</v>
      </c>
      <c r="J90" s="18" t="s">
        <v>1176</v>
      </c>
    </row>
    <row r="91" customFormat="false" ht="35.05" hidden="false" customHeight="false" outlineLevel="0" collapsed="false">
      <c r="A91" s="18" t="s">
        <v>735</v>
      </c>
      <c r="B91" s="18" t="s">
        <v>215</v>
      </c>
      <c r="C91" s="18" t="s">
        <v>168</v>
      </c>
      <c r="D91" s="18" t="s">
        <v>802</v>
      </c>
      <c r="E91" s="18" t="s">
        <v>1206</v>
      </c>
      <c r="F91" s="18" t="s">
        <v>1080</v>
      </c>
      <c r="G91" s="18" t="s">
        <v>109</v>
      </c>
      <c r="H91" s="32" t="n">
        <v>46315</v>
      </c>
      <c r="I91" s="18" t="s">
        <v>735</v>
      </c>
      <c r="J91" s="18" t="s">
        <v>1176</v>
      </c>
    </row>
    <row r="92" customFormat="false" ht="23.85" hidden="false" customHeight="false" outlineLevel="0" collapsed="false">
      <c r="A92" s="18" t="s">
        <v>735</v>
      </c>
      <c r="B92" s="18" t="s">
        <v>215</v>
      </c>
      <c r="C92" s="18" t="s">
        <v>168</v>
      </c>
      <c r="D92" s="18" t="s">
        <v>802</v>
      </c>
      <c r="E92" s="18" t="s">
        <v>1207</v>
      </c>
      <c r="F92" s="18" t="s">
        <v>1208</v>
      </c>
      <c r="G92" s="18" t="s">
        <v>109</v>
      </c>
      <c r="H92" s="32" t="n">
        <v>46315</v>
      </c>
      <c r="I92" s="18" t="s">
        <v>735</v>
      </c>
      <c r="J92" s="18" t="s">
        <v>1176</v>
      </c>
    </row>
    <row r="93" customFormat="false" ht="23.85" hidden="false" customHeight="false" outlineLevel="0" collapsed="false">
      <c r="A93" s="18" t="s">
        <v>735</v>
      </c>
      <c r="B93" s="18" t="s">
        <v>215</v>
      </c>
      <c r="C93" s="18" t="s">
        <v>168</v>
      </c>
      <c r="D93" s="18" t="s">
        <v>802</v>
      </c>
      <c r="E93" s="18" t="s">
        <v>1209</v>
      </c>
      <c r="F93" s="18" t="s">
        <v>1089</v>
      </c>
      <c r="G93" s="18" t="s">
        <v>109</v>
      </c>
      <c r="H93" s="32" t="n">
        <v>46315</v>
      </c>
      <c r="I93" s="18" t="s">
        <v>735</v>
      </c>
      <c r="J93" s="18" t="s">
        <v>1176</v>
      </c>
    </row>
    <row r="94" customFormat="false" ht="23.85" hidden="false" customHeight="false" outlineLevel="0" collapsed="false">
      <c r="A94" s="18" t="s">
        <v>1004</v>
      </c>
      <c r="B94" s="18" t="s">
        <v>215</v>
      </c>
      <c r="C94" s="18" t="s">
        <v>168</v>
      </c>
      <c r="D94" s="18" t="s">
        <v>802</v>
      </c>
      <c r="E94" s="18" t="s">
        <v>1210</v>
      </c>
      <c r="F94" s="18" t="s">
        <v>1080</v>
      </c>
      <c r="G94" s="18" t="s">
        <v>109</v>
      </c>
      <c r="H94" s="32" t="n">
        <v>46315</v>
      </c>
      <c r="I94" s="18" t="s">
        <v>735</v>
      </c>
      <c r="J94" s="18" t="s">
        <v>1176</v>
      </c>
    </row>
    <row r="95" customFormat="false" ht="23.85" hidden="false" customHeight="false" outlineLevel="0" collapsed="false">
      <c r="A95" s="18" t="s">
        <v>1004</v>
      </c>
      <c r="B95" s="18" t="s">
        <v>215</v>
      </c>
      <c r="C95" s="18" t="s">
        <v>168</v>
      </c>
      <c r="D95" s="18" t="s">
        <v>802</v>
      </c>
      <c r="E95" s="18" t="s">
        <v>1211</v>
      </c>
      <c r="F95" s="18" t="s">
        <v>1212</v>
      </c>
      <c r="G95" s="18" t="s">
        <v>109</v>
      </c>
      <c r="H95" s="32" t="n">
        <v>46315</v>
      </c>
      <c r="I95" s="18" t="s">
        <v>735</v>
      </c>
      <c r="J95" s="18" t="s">
        <v>1176</v>
      </c>
    </row>
    <row r="96" customFormat="false" ht="35.05" hidden="false" customHeight="false" outlineLevel="0" collapsed="false">
      <c r="A96" s="18" t="s">
        <v>1012</v>
      </c>
      <c r="B96" s="18" t="s">
        <v>215</v>
      </c>
      <c r="C96" s="18" t="s">
        <v>168</v>
      </c>
      <c r="D96" s="18" t="s">
        <v>802</v>
      </c>
      <c r="E96" s="18" t="s">
        <v>1213</v>
      </c>
      <c r="F96" s="18" t="s">
        <v>1083</v>
      </c>
      <c r="G96" s="18" t="s">
        <v>109</v>
      </c>
      <c r="H96" s="32" t="n">
        <v>46315</v>
      </c>
      <c r="I96" s="18" t="s">
        <v>735</v>
      </c>
      <c r="J96" s="18" t="s">
        <v>1176</v>
      </c>
    </row>
    <row r="97" customFormat="false" ht="23.85" hidden="false" customHeight="false" outlineLevel="0" collapsed="false">
      <c r="A97" s="18" t="s">
        <v>1012</v>
      </c>
      <c r="B97" s="18" t="s">
        <v>215</v>
      </c>
      <c r="C97" s="18" t="s">
        <v>168</v>
      </c>
      <c r="D97" s="18" t="s">
        <v>802</v>
      </c>
      <c r="E97" s="18" t="s">
        <v>1214</v>
      </c>
      <c r="F97" s="18" t="s">
        <v>1208</v>
      </c>
      <c r="G97" s="18" t="s">
        <v>109</v>
      </c>
      <c r="H97" s="32" t="n">
        <v>46315</v>
      </c>
      <c r="I97" s="18" t="s">
        <v>735</v>
      </c>
      <c r="J97" s="18" t="s">
        <v>1176</v>
      </c>
    </row>
    <row r="98" customFormat="false" ht="23.85" hidden="false" customHeight="false" outlineLevel="0" collapsed="false">
      <c r="A98" s="18" t="s">
        <v>1019</v>
      </c>
      <c r="B98" s="18" t="s">
        <v>215</v>
      </c>
      <c r="C98" s="18" t="s">
        <v>168</v>
      </c>
      <c r="D98" s="18" t="s">
        <v>802</v>
      </c>
      <c r="E98" s="18" t="s">
        <v>1215</v>
      </c>
      <c r="F98" s="18" t="s">
        <v>1212</v>
      </c>
      <c r="G98" s="18" t="s">
        <v>109</v>
      </c>
      <c r="H98" s="32" t="n">
        <v>46315</v>
      </c>
      <c r="I98" s="18" t="s">
        <v>735</v>
      </c>
      <c r="J98" s="18" t="s">
        <v>1176</v>
      </c>
    </row>
    <row r="99" customFormat="false" ht="15" hidden="false" customHeight="false" outlineLevel="0" collapsed="false">
      <c r="A99" s="18" t="s">
        <v>1019</v>
      </c>
      <c r="B99" s="18" t="s">
        <v>215</v>
      </c>
      <c r="C99" s="18" t="s">
        <v>168</v>
      </c>
      <c r="D99" s="18" t="s">
        <v>802</v>
      </c>
      <c r="E99" s="18" t="s">
        <v>1190</v>
      </c>
      <c r="F99" s="18" t="s">
        <v>1089</v>
      </c>
      <c r="G99" s="18" t="s">
        <v>109</v>
      </c>
      <c r="H99" s="32" t="n">
        <v>46315</v>
      </c>
      <c r="I99" s="18" t="s">
        <v>735</v>
      </c>
      <c r="J99" s="18" t="s">
        <v>1176</v>
      </c>
    </row>
    <row r="100" customFormat="false" ht="46.25" hidden="false" customHeight="false" outlineLevel="0" collapsed="false">
      <c r="A100" s="18" t="s">
        <v>748</v>
      </c>
      <c r="B100" s="18" t="s">
        <v>321</v>
      </c>
      <c r="C100" s="18" t="s">
        <v>292</v>
      </c>
      <c r="D100" s="18" t="s">
        <v>802</v>
      </c>
      <c r="E100" s="18" t="s">
        <v>1216</v>
      </c>
      <c r="F100" s="18" t="s">
        <v>1080</v>
      </c>
      <c r="G100" s="18" t="s">
        <v>109</v>
      </c>
      <c r="H100" s="32" t="n">
        <v>46315</v>
      </c>
      <c r="I100" s="18" t="s">
        <v>748</v>
      </c>
      <c r="J100" s="18" t="s">
        <v>1217</v>
      </c>
    </row>
    <row r="101" customFormat="false" ht="35.05" hidden="false" customHeight="false" outlineLevel="0" collapsed="false">
      <c r="A101" s="18" t="s">
        <v>748</v>
      </c>
      <c r="B101" s="18" t="s">
        <v>321</v>
      </c>
      <c r="C101" s="18" t="s">
        <v>292</v>
      </c>
      <c r="D101" s="18" t="s">
        <v>802</v>
      </c>
      <c r="E101" s="18" t="s">
        <v>1218</v>
      </c>
      <c r="F101" s="18" t="s">
        <v>1127</v>
      </c>
      <c r="G101" s="18" t="s">
        <v>109</v>
      </c>
      <c r="H101" s="32" t="n">
        <v>46315</v>
      </c>
      <c r="I101" s="18" t="s">
        <v>748</v>
      </c>
      <c r="J101" s="18" t="s">
        <v>1217</v>
      </c>
    </row>
    <row r="102" customFormat="false" ht="23.85" hidden="false" customHeight="false" outlineLevel="0" collapsed="false">
      <c r="A102" s="18" t="s">
        <v>748</v>
      </c>
      <c r="B102" s="18" t="s">
        <v>321</v>
      </c>
      <c r="C102" s="18" t="s">
        <v>292</v>
      </c>
      <c r="D102" s="18" t="s">
        <v>802</v>
      </c>
      <c r="E102" s="18" t="s">
        <v>1209</v>
      </c>
      <c r="F102" s="18" t="s">
        <v>1089</v>
      </c>
      <c r="G102" s="18" t="s">
        <v>109</v>
      </c>
      <c r="H102" s="32" t="n">
        <v>46315</v>
      </c>
      <c r="I102" s="18" t="s">
        <v>748</v>
      </c>
      <c r="J102" s="18" t="s">
        <v>1217</v>
      </c>
    </row>
    <row r="103" customFormat="false" ht="23.85" hidden="false" customHeight="false" outlineLevel="0" collapsed="false">
      <c r="A103" s="18" t="s">
        <v>753</v>
      </c>
      <c r="B103" s="18" t="s">
        <v>321</v>
      </c>
      <c r="C103" s="18" t="s">
        <v>292</v>
      </c>
      <c r="D103" s="18" t="s">
        <v>802</v>
      </c>
      <c r="E103" s="18" t="s">
        <v>1219</v>
      </c>
      <c r="F103" s="18" t="s">
        <v>1220</v>
      </c>
      <c r="G103" s="18" t="s">
        <v>109</v>
      </c>
      <c r="H103" s="32" t="n">
        <v>46315</v>
      </c>
      <c r="I103" s="18" t="s">
        <v>753</v>
      </c>
      <c r="J103" s="18" t="s">
        <v>1217</v>
      </c>
    </row>
    <row r="104" customFormat="false" ht="23.85" hidden="false" customHeight="false" outlineLevel="0" collapsed="false">
      <c r="A104" s="18" t="s">
        <v>1044</v>
      </c>
      <c r="B104" s="18" t="s">
        <v>321</v>
      </c>
      <c r="C104" s="18" t="s">
        <v>292</v>
      </c>
      <c r="D104" s="18" t="s">
        <v>802</v>
      </c>
      <c r="E104" s="18" t="s">
        <v>1221</v>
      </c>
      <c r="F104" s="18" t="s">
        <v>1222</v>
      </c>
      <c r="G104" s="18" t="s">
        <v>109</v>
      </c>
      <c r="H104" s="32" t="n">
        <v>46315</v>
      </c>
      <c r="I104" s="18" t="s">
        <v>748</v>
      </c>
      <c r="J104" s="18" t="s">
        <v>1217</v>
      </c>
    </row>
    <row r="105" customFormat="false" ht="35.05" hidden="false" customHeight="false" outlineLevel="0" collapsed="false">
      <c r="A105" s="18" t="s">
        <v>1053</v>
      </c>
      <c r="B105" s="18" t="s">
        <v>321</v>
      </c>
      <c r="C105" s="18" t="s">
        <v>292</v>
      </c>
      <c r="D105" s="18" t="s">
        <v>802</v>
      </c>
      <c r="E105" s="18" t="s">
        <v>1223</v>
      </c>
      <c r="F105" s="18" t="s">
        <v>1224</v>
      </c>
      <c r="G105" s="18" t="s">
        <v>109</v>
      </c>
      <c r="H105" s="32" t="n">
        <v>46315</v>
      </c>
      <c r="I105" s="18" t="s">
        <v>748</v>
      </c>
      <c r="J105" s="18" t="s">
        <v>1217</v>
      </c>
    </row>
  </sheetData>
  <autoFilter ref="A1:J105"/>
  <dataValidations count="3">
    <dataValidation allowBlank="true" errorStyle="stop" operator="between" showDropDown="false" showErrorMessage="false" showInputMessage="false" sqref="C2:C300" type="list">
      <formula1>"A,B,C,D"</formula1>
      <formula2>0</formula2>
    </dataValidation>
    <dataValidation allowBlank="true" errorStyle="stop" operator="between" showDropDown="false" showErrorMessage="false" showInputMessage="false" sqref="D2:D300" type="list">
      <formula1>"Cumple,Ajustar,Sobra"</formula1>
      <formula2>0</formula2>
    </dataValidation>
    <dataValidation allowBlank="true" errorStyle="stop" operator="between" showDropDown="false" showErrorMessage="false" showInputMessage="false" sqref="G2:G300" type="list">
      <formula1>"Juan Fernando,Juan José,Juliana,Jorge"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D27" activeCellId="0" sqref="D27"/>
    </sheetView>
  </sheetViews>
  <sheetFormatPr defaultColWidth="8.71484375" defaultRowHeight="15" zeroHeight="false" outlineLevelRow="0" outlineLevelCol="0"/>
  <cols>
    <col collapsed="false" customWidth="true" hidden="false" outlineLevel="0" max="1" min="1" style="1" width="11"/>
    <col collapsed="false" customWidth="true" hidden="false" outlineLevel="0" max="2" min="2" style="1" width="13"/>
    <col collapsed="false" customWidth="true" hidden="false" outlineLevel="0" max="3" min="3" style="1" width="26"/>
    <col collapsed="false" customWidth="true" hidden="false" outlineLevel="0" max="4" min="4" style="1" width="11"/>
    <col collapsed="false" customWidth="true" hidden="false" outlineLevel="0" max="5" min="5" style="1" width="13"/>
    <col collapsed="false" customWidth="true" hidden="false" outlineLevel="0" max="6" min="6" style="1" width="34"/>
    <col collapsed="false" customWidth="true" hidden="false" outlineLevel="0" max="7" min="7" style="1" width="14"/>
    <col collapsed="false" customWidth="true" hidden="false" outlineLevel="0" max="8" min="8" style="1" width="13"/>
    <col collapsed="false" customWidth="true" hidden="false" outlineLevel="0" max="9" min="9" style="1" width="22"/>
    <col collapsed="false" customWidth="true" hidden="false" outlineLevel="0" max="10" min="10" style="1" width="24"/>
    <col collapsed="false" customWidth="true" hidden="false" outlineLevel="0" max="11" min="11" style="1" width="22"/>
    <col collapsed="false" customWidth="true" hidden="false" outlineLevel="0" max="12" min="12" style="1" width="28"/>
    <col collapsed="false" customWidth="true" hidden="false" outlineLevel="0" max="13" min="13" style="1" width="22"/>
    <col collapsed="false" customWidth="true" hidden="false" outlineLevel="0" max="14" min="14" style="1" width="13"/>
    <col collapsed="false" customWidth="true" hidden="false" outlineLevel="0" max="16" min="15" style="1" width="12"/>
    <col collapsed="false" customWidth="true" hidden="false" outlineLevel="0" max="17" min="17" style="1" width="14"/>
    <col collapsed="false" customWidth="false" hidden="false" outlineLevel="0" max="16384" min="18" style="1" width="8.71"/>
  </cols>
  <sheetData>
    <row r="1" customFormat="false" ht="42" hidden="false" customHeight="true" outlineLevel="0" collapsed="false">
      <c r="A1" s="8" t="s">
        <v>1225</v>
      </c>
      <c r="B1" s="9" t="s">
        <v>1226</v>
      </c>
      <c r="C1" s="9" t="s">
        <v>78</v>
      </c>
      <c r="D1" s="9" t="s">
        <v>1227</v>
      </c>
      <c r="E1" s="9" t="s">
        <v>671</v>
      </c>
      <c r="F1" s="9" t="s">
        <v>1228</v>
      </c>
      <c r="G1" s="10" t="s">
        <v>82</v>
      </c>
      <c r="H1" s="10" t="s">
        <v>83</v>
      </c>
      <c r="I1" s="11" t="s">
        <v>84</v>
      </c>
      <c r="J1" s="11" t="s">
        <v>85</v>
      </c>
      <c r="K1" s="10" t="s">
        <v>86</v>
      </c>
      <c r="L1" s="10" t="s">
        <v>87</v>
      </c>
      <c r="M1" s="10" t="s">
        <v>88</v>
      </c>
      <c r="N1" s="10" t="s">
        <v>89</v>
      </c>
      <c r="O1" s="10" t="s">
        <v>90</v>
      </c>
      <c r="P1" s="10" t="s">
        <v>91</v>
      </c>
      <c r="Q1" s="10" t="s">
        <v>788</v>
      </c>
    </row>
    <row r="2" customFormat="false" ht="15" hidden="false" customHeight="true" outlineLevel="0" collapsed="false">
      <c r="A2" s="12" t="s">
        <v>738</v>
      </c>
      <c r="B2" s="13"/>
      <c r="C2" s="13"/>
      <c r="D2" s="13"/>
      <c r="E2" s="13"/>
      <c r="F2" s="13"/>
      <c r="G2" s="13"/>
      <c r="H2" s="13" t="s">
        <v>1229</v>
      </c>
      <c r="I2" s="14" t="str">
        <f aca="false">IF(OR(H2="",H2="Libre"),"Disponible",IF(H2="Bloqueado","Bloqueada: "&amp;IF(M2="","falta motivo",M2),IF(OR(H2="Aprobado",H2="En Trello"),"Cerrada",IF(H2="En revisión","En revisión: "&amp;IF(N2="","falta revisor",N2),IF(H2="Analizado","Lista para revisar: analizó "&amp;IF(G2="","falta responsable",G2),IF(G2="","Falta responsable","Ocupada por "&amp;G2))))))</f>
        <v>Disponible</v>
      </c>
      <c r="J2" s="14" t="str">
        <f aca="false">IF(AND(N2&lt;&gt;"",N2=G2),"El revisor no puede ser el responsable",IF(AND(OR(H2="Analizado",H2="En revisión",H2="Aprobado"),K2=""),"Falta la fuente del análisis",IF(AND(OR(H2="Aprobado",H2="En Trello"),N2=""),"Aprobado sin revisor","")))</f>
        <v/>
      </c>
      <c r="K2" s="13"/>
      <c r="L2" s="13"/>
      <c r="M2" s="13"/>
      <c r="N2" s="13"/>
      <c r="O2" s="15"/>
      <c r="P2" s="15"/>
      <c r="Q2" s="13"/>
    </row>
    <row r="3" customFormat="false" ht="15" hidden="false" customHeight="true" outlineLevel="0" collapsed="false">
      <c r="A3" s="12" t="s">
        <v>740</v>
      </c>
      <c r="B3" s="13"/>
      <c r="C3" s="13"/>
      <c r="D3" s="13"/>
      <c r="E3" s="13"/>
      <c r="F3" s="13"/>
      <c r="G3" s="13"/>
      <c r="H3" s="13" t="s">
        <v>1229</v>
      </c>
      <c r="I3" s="14" t="str">
        <f aca="false">IF(OR(H3="",H3="Libre"),"Disponible",IF(H3="Bloqueado","Bloqueada: "&amp;IF(M3="","falta motivo",M3),IF(OR(H3="Aprobado",H3="En Trello"),"Cerrada",IF(H3="En revisión","En revisión: "&amp;IF(N3="","falta revisor",N3),IF(H3="Analizado","Lista para revisar: analizó "&amp;IF(G3="","falta responsable",G3),IF(G3="","Falta responsable","Ocupada por "&amp;G3))))))</f>
        <v>Disponible</v>
      </c>
      <c r="J3" s="14" t="str">
        <f aca="false">IF(AND(N3&lt;&gt;"",N3=G3),"El revisor no puede ser el responsable",IF(AND(OR(H3="Analizado",H3="En revisión",H3="Aprobado"),K3=""),"Falta la fuente del análisis",IF(AND(OR(H3="Aprobado",H3="En Trello"),N3=""),"Aprobado sin revisor","")))</f>
        <v/>
      </c>
      <c r="K3" s="13"/>
      <c r="L3" s="13"/>
      <c r="M3" s="13"/>
      <c r="N3" s="13"/>
      <c r="O3" s="15"/>
      <c r="P3" s="15"/>
      <c r="Q3" s="13"/>
    </row>
    <row r="4" customFormat="false" ht="15" hidden="false" customHeight="true" outlineLevel="0" collapsed="false">
      <c r="A4" s="12" t="s">
        <v>742</v>
      </c>
      <c r="B4" s="13"/>
      <c r="C4" s="13"/>
      <c r="D4" s="13"/>
      <c r="E4" s="13"/>
      <c r="F4" s="13"/>
      <c r="G4" s="13"/>
      <c r="H4" s="13" t="s">
        <v>1229</v>
      </c>
      <c r="I4" s="14" t="str">
        <f aca="false">IF(OR(H4="",H4="Libre"),"Disponible",IF(H4="Bloqueado","Bloqueada: "&amp;IF(M4="","falta motivo",M4),IF(OR(H4="Aprobado",H4="En Trello"),"Cerrada",IF(H4="En revisión","En revisión: "&amp;IF(N4="","falta revisor",N4),IF(H4="Analizado","Lista para revisar: analizó "&amp;IF(G4="","falta responsable",G4),IF(G4="","Falta responsable","Ocupada por "&amp;G4))))))</f>
        <v>Disponible</v>
      </c>
      <c r="J4" s="14" t="str">
        <f aca="false">IF(AND(N4&lt;&gt;"",N4=G4),"El revisor no puede ser el responsable",IF(AND(OR(H4="Analizado",H4="En revisión",H4="Aprobado"),K4=""),"Falta la fuente del análisis",IF(AND(OR(H4="Aprobado",H4="En Trello"),N4=""),"Aprobado sin revisor","")))</f>
        <v/>
      </c>
      <c r="K4" s="13"/>
      <c r="L4" s="13"/>
      <c r="M4" s="13"/>
      <c r="N4" s="13"/>
      <c r="O4" s="15"/>
      <c r="P4" s="15"/>
      <c r="Q4" s="13"/>
    </row>
    <row r="5" customFormat="false" ht="15" hidden="false" customHeight="true" outlineLevel="0" collapsed="false">
      <c r="A5" s="12" t="s">
        <v>744</v>
      </c>
      <c r="B5" s="13"/>
      <c r="C5" s="13"/>
      <c r="D5" s="13"/>
      <c r="E5" s="13"/>
      <c r="F5" s="13"/>
      <c r="G5" s="13"/>
      <c r="H5" s="13" t="s">
        <v>1229</v>
      </c>
      <c r="I5" s="14" t="str">
        <f aca="false">IF(OR(H5="",H5="Libre"),"Disponible",IF(H5="Bloqueado","Bloqueada: "&amp;IF(M5="","falta motivo",M5),IF(OR(H5="Aprobado",H5="En Trello"),"Cerrada",IF(H5="En revisión","En revisión: "&amp;IF(N5="","falta revisor",N5),IF(H5="Analizado","Lista para revisar: analizó "&amp;IF(G5="","falta responsable",G5),IF(G5="","Falta responsable","Ocupada por "&amp;G5))))))</f>
        <v>Disponible</v>
      </c>
      <c r="J5" s="14" t="str">
        <f aca="false">IF(AND(N5&lt;&gt;"",N5=G5),"El revisor no puede ser el responsable",IF(AND(OR(H5="Analizado",H5="En revisión",H5="Aprobado"),K5=""),"Falta la fuente del análisis",IF(AND(OR(H5="Aprobado",H5="En Trello"),N5=""),"Aprobado sin revisor","")))</f>
        <v/>
      </c>
      <c r="K5" s="13"/>
      <c r="L5" s="13"/>
      <c r="M5" s="13"/>
      <c r="N5" s="13"/>
      <c r="O5" s="15"/>
      <c r="P5" s="15"/>
      <c r="Q5" s="13"/>
    </row>
    <row r="6" customFormat="false" ht="15" hidden="false" customHeight="true" outlineLevel="0" collapsed="false">
      <c r="A6" s="12" t="s">
        <v>746</v>
      </c>
      <c r="B6" s="13"/>
      <c r="C6" s="13"/>
      <c r="D6" s="13"/>
      <c r="E6" s="13"/>
      <c r="F6" s="13"/>
      <c r="G6" s="13"/>
      <c r="H6" s="13" t="s">
        <v>1229</v>
      </c>
      <c r="I6" s="14" t="str">
        <f aca="false">IF(OR(H6="",H6="Libre"),"Disponible",IF(H6="Bloqueado","Bloqueada: "&amp;IF(M6="","falta motivo",M6),IF(OR(H6="Aprobado",H6="En Trello"),"Cerrada",IF(H6="En revisión","En revisión: "&amp;IF(N6="","falta revisor",N6),IF(H6="Analizado","Lista para revisar: analizó "&amp;IF(G6="","falta responsable",G6),IF(G6="","Falta responsable","Ocupada por "&amp;G6))))))</f>
        <v>Disponible</v>
      </c>
      <c r="J6" s="14" t="str">
        <f aca="false">IF(AND(N6&lt;&gt;"",N6=G6),"El revisor no puede ser el responsable",IF(AND(OR(H6="Analizado",H6="En revisión",H6="Aprobado"),K6=""),"Falta la fuente del análisis",IF(AND(OR(H6="Aprobado",H6="En Trello"),N6=""),"Aprobado sin revisor","")))</f>
        <v/>
      </c>
      <c r="K6" s="13"/>
      <c r="L6" s="13"/>
      <c r="M6" s="13"/>
      <c r="N6" s="13"/>
      <c r="O6" s="15"/>
      <c r="P6" s="15"/>
      <c r="Q6" s="13"/>
    </row>
    <row r="7" customFormat="false" ht="15" hidden="false" customHeight="true" outlineLevel="0" collapsed="false">
      <c r="A7" s="12" t="s">
        <v>755</v>
      </c>
      <c r="B7" s="13"/>
      <c r="C7" s="13"/>
      <c r="D7" s="13"/>
      <c r="E7" s="13"/>
      <c r="F7" s="13"/>
      <c r="G7" s="13"/>
      <c r="H7" s="13" t="s">
        <v>1229</v>
      </c>
      <c r="I7" s="14" t="str">
        <f aca="false">IF(OR(H7="",H7="Libre"),"Disponible",IF(H7="Bloqueado","Bloqueada: "&amp;IF(M7="","falta motivo",M7),IF(OR(H7="Aprobado",H7="En Trello"),"Cerrada",IF(H7="En revisión","En revisión: "&amp;IF(N7="","falta revisor",N7),IF(H7="Analizado","Lista para revisar: analizó "&amp;IF(G7="","falta responsable",G7),IF(G7="","Falta responsable","Ocupada por "&amp;G7))))))</f>
        <v>Disponible</v>
      </c>
      <c r="J7" s="14" t="str">
        <f aca="false">IF(AND(N7&lt;&gt;"",N7=G7),"El revisor no puede ser el responsable",IF(AND(OR(H7="Analizado",H7="En revisión",H7="Aprobado"),K7=""),"Falta la fuente del análisis",IF(AND(OR(H7="Aprobado",H7="En Trello"),N7=""),"Aprobado sin revisor","")))</f>
        <v/>
      </c>
      <c r="K7" s="13"/>
      <c r="L7" s="13"/>
      <c r="M7" s="13"/>
      <c r="N7" s="13"/>
      <c r="O7" s="15"/>
      <c r="P7" s="15"/>
      <c r="Q7" s="13"/>
    </row>
    <row r="8" customFormat="false" ht="15" hidden="false" customHeight="true" outlineLevel="0" collapsed="false">
      <c r="A8" s="12" t="s">
        <v>757</v>
      </c>
      <c r="B8" s="13"/>
      <c r="C8" s="13"/>
      <c r="D8" s="13"/>
      <c r="E8" s="13"/>
      <c r="F8" s="13"/>
      <c r="G8" s="13"/>
      <c r="H8" s="13" t="s">
        <v>1229</v>
      </c>
      <c r="I8" s="14" t="str">
        <f aca="false">IF(OR(H8="",H8="Libre"),"Disponible",IF(H8="Bloqueado","Bloqueada: "&amp;IF(M8="","falta motivo",M8),IF(OR(H8="Aprobado",H8="En Trello"),"Cerrada",IF(H8="En revisión","En revisión: "&amp;IF(N8="","falta revisor",N8),IF(H8="Analizado","Lista para revisar: analizó "&amp;IF(G8="","falta responsable",G8),IF(G8="","Falta responsable","Ocupada por "&amp;G8))))))</f>
        <v>Disponible</v>
      </c>
      <c r="J8" s="14" t="str">
        <f aca="false">IF(AND(N8&lt;&gt;"",N8=G8),"El revisor no puede ser el responsable",IF(AND(OR(H8="Analizado",H8="En revisión",H8="Aprobado"),K8=""),"Falta la fuente del análisis",IF(AND(OR(H8="Aprobado",H8="En Trello"),N8=""),"Aprobado sin revisor","")))</f>
        <v/>
      </c>
      <c r="K8" s="13"/>
      <c r="L8" s="13"/>
      <c r="M8" s="13"/>
      <c r="N8" s="13"/>
      <c r="O8" s="15"/>
      <c r="P8" s="15"/>
      <c r="Q8" s="13"/>
    </row>
    <row r="9" customFormat="false" ht="15" hidden="false" customHeight="true" outlineLevel="0" collapsed="false">
      <c r="A9" s="12" t="s">
        <v>759</v>
      </c>
      <c r="B9" s="13"/>
      <c r="C9" s="13"/>
      <c r="D9" s="13"/>
      <c r="E9" s="13"/>
      <c r="F9" s="13"/>
      <c r="G9" s="13"/>
      <c r="H9" s="13" t="s">
        <v>1229</v>
      </c>
      <c r="I9" s="14" t="str">
        <f aca="false">IF(OR(H9="",H9="Libre"),"Disponible",IF(H9="Bloqueado","Bloqueada: "&amp;IF(M9="","falta motivo",M9),IF(OR(H9="Aprobado",H9="En Trello"),"Cerrada",IF(H9="En revisión","En revisión: "&amp;IF(N9="","falta revisor",N9),IF(H9="Analizado","Lista para revisar: analizó "&amp;IF(G9="","falta responsable",G9),IF(G9="","Falta responsable","Ocupada por "&amp;G9))))))</f>
        <v>Disponible</v>
      </c>
      <c r="J9" s="14" t="str">
        <f aca="false">IF(AND(N9&lt;&gt;"",N9=G9),"El revisor no puede ser el responsable",IF(AND(OR(H9="Analizado",H9="En revisión",H9="Aprobado"),K9=""),"Falta la fuente del análisis",IF(AND(OR(H9="Aprobado",H9="En Trello"),N9=""),"Aprobado sin revisor","")))</f>
        <v/>
      </c>
      <c r="K9" s="13"/>
      <c r="L9" s="13"/>
      <c r="M9" s="13"/>
      <c r="N9" s="13"/>
      <c r="O9" s="15"/>
      <c r="P9" s="15"/>
      <c r="Q9" s="13"/>
    </row>
    <row r="10" customFormat="false" ht="15" hidden="false" customHeight="true" outlineLevel="0" collapsed="false">
      <c r="A10" s="12" t="s">
        <v>761</v>
      </c>
      <c r="B10" s="13"/>
      <c r="C10" s="13"/>
      <c r="D10" s="13"/>
      <c r="E10" s="13"/>
      <c r="F10" s="13"/>
      <c r="G10" s="13"/>
      <c r="H10" s="13" t="s">
        <v>1229</v>
      </c>
      <c r="I10" s="14" t="str">
        <f aca="false">IF(OR(H10="",H10="Libre"),"Disponible",IF(H10="Bloqueado","Bloqueada: "&amp;IF(M10="","falta motivo",M10),IF(OR(H10="Aprobado",H10="En Trello"),"Cerrada",IF(H10="En revisión","En revisión: "&amp;IF(N10="","falta revisor",N10),IF(H10="Analizado","Lista para revisar: analizó "&amp;IF(G10="","falta responsable",G10),IF(G10="","Falta responsable","Ocupada por "&amp;G10))))))</f>
        <v>Disponible</v>
      </c>
      <c r="J10" s="14" t="str">
        <f aca="false">IF(AND(N10&lt;&gt;"",N10=G10),"El revisor no puede ser el responsable",IF(AND(OR(H10="Analizado",H10="En revisión",H10="Aprobado"),K10=""),"Falta la fuente del análisis",IF(AND(OR(H10="Aprobado",H10="En Trello"),N10=""),"Aprobado sin revisor","")))</f>
        <v/>
      </c>
      <c r="K10" s="13"/>
      <c r="L10" s="13"/>
      <c r="M10" s="13"/>
      <c r="N10" s="13"/>
      <c r="O10" s="15"/>
      <c r="P10" s="15"/>
      <c r="Q10" s="13"/>
    </row>
    <row r="11" customFormat="false" ht="15" hidden="false" customHeight="true" outlineLevel="0" collapsed="false">
      <c r="A11" s="12" t="s">
        <v>701</v>
      </c>
      <c r="B11" s="13"/>
      <c r="C11" s="13"/>
      <c r="D11" s="13"/>
      <c r="E11" s="13"/>
      <c r="F11" s="13"/>
      <c r="G11" s="13"/>
      <c r="H11" s="13" t="s">
        <v>1229</v>
      </c>
      <c r="I11" s="14" t="str">
        <f aca="false">IF(OR(H11="",H11="Libre"),"Disponible",IF(H11="Bloqueado","Bloqueada: "&amp;IF(M11="","falta motivo",M11),IF(OR(H11="Aprobado",H11="En Trello"),"Cerrada",IF(H11="En revisión","En revisión: "&amp;IF(N11="","falta revisor",N11),IF(H11="Analizado","Lista para revisar: analizó "&amp;IF(G11="","falta responsable",G11),IF(G11="","Falta responsable","Ocupada por "&amp;G11))))))</f>
        <v>Disponible</v>
      </c>
      <c r="J11" s="14" t="str">
        <f aca="false">IF(AND(N11&lt;&gt;"",N11=G11),"El revisor no puede ser el responsable",IF(AND(OR(H11="Analizado",H11="En revisión",H11="Aprobado"),K11=""),"Falta la fuente del análisis",IF(AND(OR(H11="Aprobado",H11="En Trello"),N11=""),"Aprobado sin revisor","")))</f>
        <v/>
      </c>
      <c r="K11" s="13"/>
      <c r="L11" s="13"/>
      <c r="M11" s="13"/>
      <c r="N11" s="13"/>
      <c r="O11" s="15"/>
      <c r="P11" s="15"/>
      <c r="Q11" s="13"/>
    </row>
    <row r="12" customFormat="false" ht="15" hidden="false" customHeight="true" outlineLevel="0" collapsed="false">
      <c r="A12" s="12" t="s">
        <v>1230</v>
      </c>
      <c r="B12" s="13"/>
      <c r="C12" s="13"/>
      <c r="D12" s="13"/>
      <c r="E12" s="13"/>
      <c r="F12" s="13"/>
      <c r="G12" s="13"/>
      <c r="H12" s="13" t="s">
        <v>1229</v>
      </c>
      <c r="I12" s="14" t="str">
        <f aca="false">IF(OR(H12="",H12="Libre"),"Disponible",IF(H12="Bloqueado","Bloqueada: "&amp;IF(M12="","falta motivo",M12),IF(OR(H12="Aprobado",H12="En Trello"),"Cerrada",IF(H12="En revisión","En revisión: "&amp;IF(N12="","falta revisor",N12),IF(H12="Analizado","Lista para revisar: analizó "&amp;IF(G12="","falta responsable",G12),IF(G12="","Falta responsable","Ocupada por "&amp;G12))))))</f>
        <v>Disponible</v>
      </c>
      <c r="J12" s="14" t="str">
        <f aca="false">IF(AND(N12&lt;&gt;"",N12=G12),"El revisor no puede ser el responsable",IF(AND(OR(H12="Analizado",H12="En revisión",H12="Aprobado"),K12=""),"Falta la fuente del análisis",IF(AND(OR(H12="Aprobado",H12="En Trello"),N12=""),"Aprobado sin revisor","")))</f>
        <v/>
      </c>
      <c r="K12" s="13"/>
      <c r="L12" s="13"/>
      <c r="M12" s="13"/>
      <c r="N12" s="13"/>
      <c r="O12" s="15"/>
      <c r="P12" s="15"/>
      <c r="Q12" s="13"/>
    </row>
    <row r="13" customFormat="false" ht="15" hidden="false" customHeight="true" outlineLevel="0" collapsed="false">
      <c r="A13" s="12" t="s">
        <v>1231</v>
      </c>
      <c r="B13" s="13"/>
      <c r="C13" s="13"/>
      <c r="D13" s="13"/>
      <c r="E13" s="13"/>
      <c r="F13" s="13"/>
      <c r="G13" s="13"/>
      <c r="H13" s="13" t="s">
        <v>1229</v>
      </c>
      <c r="I13" s="14" t="str">
        <f aca="false">IF(OR(H13="",H13="Libre"),"Disponible",IF(H13="Bloqueado","Bloqueada: "&amp;IF(M13="","falta motivo",M13),IF(OR(H13="Aprobado",H13="En Trello"),"Cerrada",IF(H13="En revisión","En revisión: "&amp;IF(N13="","falta revisor",N13),IF(H13="Analizado","Lista para revisar: analizó "&amp;IF(G13="","falta responsable",G13),IF(G13="","Falta responsable","Ocupada por "&amp;G13))))))</f>
        <v>Disponible</v>
      </c>
      <c r="J13" s="14" t="str">
        <f aca="false">IF(AND(N13&lt;&gt;"",N13=G13),"El revisor no puede ser el responsable",IF(AND(OR(H13="Analizado",H13="En revisión",H13="Aprobado"),K13=""),"Falta la fuente del análisis",IF(AND(OR(H13="Aprobado",H13="En Trello"),N13=""),"Aprobado sin revisor","")))</f>
        <v/>
      </c>
      <c r="K13" s="13"/>
      <c r="L13" s="13"/>
      <c r="M13" s="13"/>
      <c r="N13" s="13"/>
      <c r="O13" s="15"/>
      <c r="P13" s="15"/>
      <c r="Q13" s="13"/>
    </row>
    <row r="14" customFormat="false" ht="15" hidden="false" customHeight="true" outlineLevel="0" collapsed="false">
      <c r="A14" s="12" t="s">
        <v>1232</v>
      </c>
      <c r="B14" s="13"/>
      <c r="C14" s="13"/>
      <c r="D14" s="13"/>
      <c r="E14" s="13"/>
      <c r="F14" s="13"/>
      <c r="G14" s="13"/>
      <c r="H14" s="13" t="s">
        <v>1229</v>
      </c>
      <c r="I14" s="14" t="str">
        <f aca="false">IF(OR(H14="",H14="Libre"),"Disponible",IF(H14="Bloqueado","Bloqueada: "&amp;IF(M14="","falta motivo",M14),IF(OR(H14="Aprobado",H14="En Trello"),"Cerrada",IF(H14="En revisión","En revisión: "&amp;IF(N14="","falta revisor",N14),IF(H14="Analizado","Lista para revisar: analizó "&amp;IF(G14="","falta responsable",G14),IF(G14="","Falta responsable","Ocupada por "&amp;G14))))))</f>
        <v>Disponible</v>
      </c>
      <c r="J14" s="14" t="str">
        <f aca="false">IF(AND(N14&lt;&gt;"",N14=G14),"El revisor no puede ser el responsable",IF(AND(OR(H14="Analizado",H14="En revisión",H14="Aprobado"),K14=""),"Falta la fuente del análisis",IF(AND(OR(H14="Aprobado",H14="En Trello"),N14=""),"Aprobado sin revisor","")))</f>
        <v/>
      </c>
      <c r="K14" s="13"/>
      <c r="L14" s="13"/>
      <c r="M14" s="13"/>
      <c r="N14" s="13"/>
      <c r="O14" s="15"/>
      <c r="P14" s="15"/>
      <c r="Q14" s="13"/>
    </row>
    <row r="15" customFormat="false" ht="15" hidden="false" customHeight="true" outlineLevel="0" collapsed="false">
      <c r="A15" s="12" t="s">
        <v>1233</v>
      </c>
      <c r="B15" s="13"/>
      <c r="C15" s="13"/>
      <c r="D15" s="13"/>
      <c r="E15" s="13"/>
      <c r="F15" s="13"/>
      <c r="G15" s="13"/>
      <c r="H15" s="13" t="s">
        <v>1229</v>
      </c>
      <c r="I15" s="14" t="str">
        <f aca="false">IF(OR(H15="",H15="Libre"),"Disponible",IF(H15="Bloqueado","Bloqueada: "&amp;IF(M15="","falta motivo",M15),IF(OR(H15="Aprobado",H15="En Trello"),"Cerrada",IF(H15="En revisión","En revisión: "&amp;IF(N15="","falta revisor",N15),IF(H15="Analizado","Lista para revisar: analizó "&amp;IF(G15="","falta responsable",G15),IF(G15="","Falta responsable","Ocupada por "&amp;G15))))))</f>
        <v>Disponible</v>
      </c>
      <c r="J15" s="14" t="str">
        <f aca="false">IF(AND(N15&lt;&gt;"",N15=G15),"El revisor no puede ser el responsable",IF(AND(OR(H15="Analizado",H15="En revisión",H15="Aprobado"),K15=""),"Falta la fuente del análisis",IF(AND(OR(H15="Aprobado",H15="En Trello"),N15=""),"Aprobado sin revisor","")))</f>
        <v/>
      </c>
      <c r="K15" s="13"/>
      <c r="L15" s="13"/>
      <c r="M15" s="13"/>
      <c r="N15" s="13"/>
      <c r="O15" s="15"/>
      <c r="P15" s="15"/>
      <c r="Q15" s="13"/>
    </row>
    <row r="16" customFormat="false" ht="15" hidden="false" customHeight="true" outlineLevel="0" collapsed="false">
      <c r="A16" s="12" t="s">
        <v>1234</v>
      </c>
      <c r="B16" s="13"/>
      <c r="C16" s="13"/>
      <c r="D16" s="13"/>
      <c r="E16" s="13"/>
      <c r="F16" s="13"/>
      <c r="G16" s="13"/>
      <c r="H16" s="13" t="s">
        <v>1229</v>
      </c>
      <c r="I16" s="14" t="str">
        <f aca="false">IF(OR(H16="",H16="Libre"),"Disponible",IF(H16="Bloqueado","Bloqueada: "&amp;IF(M16="","falta motivo",M16),IF(OR(H16="Aprobado",H16="En Trello"),"Cerrada",IF(H16="En revisión","En revisión: "&amp;IF(N16="","falta revisor",N16),IF(H16="Analizado","Lista para revisar: analizó "&amp;IF(G16="","falta responsable",G16),IF(G16="","Falta responsable","Ocupada por "&amp;G16))))))</f>
        <v>Disponible</v>
      </c>
      <c r="J16" s="14" t="str">
        <f aca="false">IF(AND(N16&lt;&gt;"",N16=G16),"El revisor no puede ser el responsable",IF(AND(OR(H16="Analizado",H16="En revisión",H16="Aprobado"),K16=""),"Falta la fuente del análisis",IF(AND(OR(H16="Aprobado",H16="En Trello"),N16=""),"Aprobado sin revisor","")))</f>
        <v/>
      </c>
      <c r="K16" s="13"/>
      <c r="L16" s="13"/>
      <c r="M16" s="13"/>
      <c r="N16" s="13"/>
      <c r="O16" s="15"/>
      <c r="P16" s="15"/>
      <c r="Q16" s="13"/>
    </row>
    <row r="17" customFormat="false" ht="15" hidden="false" customHeight="true" outlineLevel="0" collapsed="false">
      <c r="A17" s="12" t="s">
        <v>1235</v>
      </c>
      <c r="B17" s="13"/>
      <c r="C17" s="13"/>
      <c r="D17" s="13"/>
      <c r="E17" s="13"/>
      <c r="F17" s="13"/>
      <c r="G17" s="13"/>
      <c r="H17" s="13" t="s">
        <v>1229</v>
      </c>
      <c r="I17" s="14" t="str">
        <f aca="false">IF(OR(H17="",H17="Libre"),"Disponible",IF(H17="Bloqueado","Bloqueada: "&amp;IF(M17="","falta motivo",M17),IF(OR(H17="Aprobado",H17="En Trello"),"Cerrada",IF(H17="En revisión","En revisión: "&amp;IF(N17="","falta revisor",N17),IF(H17="Analizado","Lista para revisar: analizó "&amp;IF(G17="","falta responsable",G17),IF(G17="","Falta responsable","Ocupada por "&amp;G17))))))</f>
        <v>Disponible</v>
      </c>
      <c r="J17" s="14" t="str">
        <f aca="false">IF(AND(N17&lt;&gt;"",N17=G17),"El revisor no puede ser el responsable",IF(AND(OR(H17="Analizado",H17="En revisión",H17="Aprobado"),K17=""),"Falta la fuente del análisis",IF(AND(OR(H17="Aprobado",H17="En Trello"),N17=""),"Aprobado sin revisor","")))</f>
        <v/>
      </c>
      <c r="K17" s="13"/>
      <c r="L17" s="13"/>
      <c r="M17" s="13"/>
      <c r="N17" s="13"/>
      <c r="O17" s="15"/>
      <c r="P17" s="15"/>
      <c r="Q17" s="13"/>
    </row>
    <row r="18" customFormat="false" ht="15" hidden="false" customHeight="true" outlineLevel="0" collapsed="false">
      <c r="A18" s="12" t="s">
        <v>1236</v>
      </c>
      <c r="B18" s="13"/>
      <c r="C18" s="13"/>
      <c r="D18" s="13"/>
      <c r="E18" s="13"/>
      <c r="F18" s="13"/>
      <c r="G18" s="13"/>
      <c r="H18" s="13" t="s">
        <v>1229</v>
      </c>
      <c r="I18" s="14" t="str">
        <f aca="false">IF(OR(H18="",H18="Libre"),"Disponible",IF(H18="Bloqueado","Bloqueada: "&amp;IF(M18="","falta motivo",M18),IF(OR(H18="Aprobado",H18="En Trello"),"Cerrada",IF(H18="En revisión","En revisión: "&amp;IF(N18="","falta revisor",N18),IF(H18="Analizado","Lista para revisar: analizó "&amp;IF(G18="","falta responsable",G18),IF(G18="","Falta responsable","Ocupada por "&amp;G18))))))</f>
        <v>Disponible</v>
      </c>
      <c r="J18" s="14" t="str">
        <f aca="false">IF(AND(N18&lt;&gt;"",N18=G18),"El revisor no puede ser el responsable",IF(AND(OR(H18="Analizado",H18="En revisión",H18="Aprobado"),K18=""),"Falta la fuente del análisis",IF(AND(OR(H18="Aprobado",H18="En Trello"),N18=""),"Aprobado sin revisor","")))</f>
        <v/>
      </c>
      <c r="K18" s="13"/>
      <c r="L18" s="13"/>
      <c r="M18" s="13"/>
      <c r="N18" s="13"/>
      <c r="O18" s="15"/>
      <c r="P18" s="15"/>
      <c r="Q18" s="13"/>
    </row>
    <row r="19" customFormat="false" ht="15" hidden="false" customHeight="true" outlineLevel="0" collapsed="false">
      <c r="A19" s="12" t="s">
        <v>1237</v>
      </c>
      <c r="B19" s="13"/>
      <c r="C19" s="13"/>
      <c r="D19" s="13"/>
      <c r="E19" s="13"/>
      <c r="F19" s="13"/>
      <c r="G19" s="13"/>
      <c r="H19" s="13" t="s">
        <v>1229</v>
      </c>
      <c r="I19" s="14" t="str">
        <f aca="false">IF(OR(H19="",H19="Libre"),"Disponible",IF(H19="Bloqueado","Bloqueada: "&amp;IF(M19="","falta motivo",M19),IF(OR(H19="Aprobado",H19="En Trello"),"Cerrada",IF(H19="En revisión","En revisión: "&amp;IF(N19="","falta revisor",N19),IF(H19="Analizado","Lista para revisar: analizó "&amp;IF(G19="","falta responsable",G19),IF(G19="","Falta responsable","Ocupada por "&amp;G19))))))</f>
        <v>Disponible</v>
      </c>
      <c r="J19" s="14" t="str">
        <f aca="false">IF(AND(N19&lt;&gt;"",N19=G19),"El revisor no puede ser el responsable",IF(AND(OR(H19="Analizado",H19="En revisión",H19="Aprobado"),K19=""),"Falta la fuente del análisis",IF(AND(OR(H19="Aprobado",H19="En Trello"),N19=""),"Aprobado sin revisor","")))</f>
        <v/>
      </c>
      <c r="K19" s="13"/>
      <c r="L19" s="13"/>
      <c r="M19" s="13"/>
      <c r="N19" s="13"/>
      <c r="O19" s="15"/>
      <c r="P19" s="15"/>
      <c r="Q19" s="13"/>
    </row>
    <row r="20" customFormat="false" ht="15" hidden="false" customHeight="true" outlineLevel="0" collapsed="false">
      <c r="A20" s="12" t="s">
        <v>1238</v>
      </c>
      <c r="B20" s="13"/>
      <c r="C20" s="13"/>
      <c r="D20" s="13"/>
      <c r="E20" s="13"/>
      <c r="F20" s="13"/>
      <c r="G20" s="13"/>
      <c r="H20" s="13" t="s">
        <v>1229</v>
      </c>
      <c r="I20" s="14" t="str">
        <f aca="false">IF(OR(H20="",H20="Libre"),"Disponible",IF(H20="Bloqueado","Bloqueada: "&amp;IF(M20="","falta motivo",M20),IF(OR(H20="Aprobado",H20="En Trello"),"Cerrada",IF(H20="En revisión","En revisión: "&amp;IF(N20="","falta revisor",N20),IF(H20="Analizado","Lista para revisar: analizó "&amp;IF(G20="","falta responsable",G20),IF(G20="","Falta responsable","Ocupada por "&amp;G20))))))</f>
        <v>Disponible</v>
      </c>
      <c r="J20" s="14" t="str">
        <f aca="false">IF(AND(N20&lt;&gt;"",N20=G20),"El revisor no puede ser el responsable",IF(AND(OR(H20="Analizado",H20="En revisión",H20="Aprobado"),K20=""),"Falta la fuente del análisis",IF(AND(OR(H20="Aprobado",H20="En Trello"),N20=""),"Aprobado sin revisor","")))</f>
        <v/>
      </c>
      <c r="K20" s="13"/>
      <c r="L20" s="13"/>
      <c r="M20" s="13"/>
      <c r="N20" s="13"/>
      <c r="O20" s="15"/>
      <c r="P20" s="15"/>
      <c r="Q20" s="13"/>
    </row>
    <row r="21" customFormat="false" ht="15" hidden="false" customHeight="true" outlineLevel="0" collapsed="false">
      <c r="A21" s="12" t="s">
        <v>1239</v>
      </c>
      <c r="B21" s="13"/>
      <c r="C21" s="13"/>
      <c r="D21" s="13"/>
      <c r="E21" s="13"/>
      <c r="F21" s="13"/>
      <c r="G21" s="13"/>
      <c r="H21" s="13" t="s">
        <v>1229</v>
      </c>
      <c r="I21" s="14" t="str">
        <f aca="false">IF(OR(H21="",H21="Libre"),"Disponible",IF(H21="Bloqueado","Bloqueada: "&amp;IF(M21="","falta motivo",M21),IF(OR(H21="Aprobado",H21="En Trello"),"Cerrada",IF(H21="En revisión","En revisión: "&amp;IF(N21="","falta revisor",N21),IF(H21="Analizado","Lista para revisar: analizó "&amp;IF(G21="","falta responsable",G21),IF(G21="","Falta responsable","Ocupada por "&amp;G21))))))</f>
        <v>Disponible</v>
      </c>
      <c r="J21" s="14" t="str">
        <f aca="false">IF(AND(N21&lt;&gt;"",N21=G21),"El revisor no puede ser el responsable",IF(AND(OR(H21="Analizado",H21="En revisión",H21="Aprobado"),K21=""),"Falta la fuente del análisis",IF(AND(OR(H21="Aprobado",H21="En Trello"),N21=""),"Aprobado sin revisor","")))</f>
        <v/>
      </c>
      <c r="K21" s="13"/>
      <c r="L21" s="13"/>
      <c r="M21" s="13"/>
      <c r="N21" s="13"/>
      <c r="O21" s="15"/>
      <c r="P21" s="15"/>
      <c r="Q21" s="13"/>
    </row>
    <row r="22" customFormat="false" ht="15" hidden="false" customHeight="true" outlineLevel="0" collapsed="false">
      <c r="A22" s="12" t="s">
        <v>1240</v>
      </c>
      <c r="B22" s="13"/>
      <c r="C22" s="13"/>
      <c r="D22" s="13"/>
      <c r="E22" s="13"/>
      <c r="F22" s="13"/>
      <c r="G22" s="13"/>
      <c r="H22" s="13" t="s">
        <v>1229</v>
      </c>
      <c r="I22" s="14" t="str">
        <f aca="false">IF(OR(H22="",H22="Libre"),"Disponible",IF(H22="Bloqueado","Bloqueada: "&amp;IF(M22="","falta motivo",M22),IF(OR(H22="Aprobado",H22="En Trello"),"Cerrada",IF(H22="En revisión","En revisión: "&amp;IF(N22="","falta revisor",N22),IF(H22="Analizado","Lista para revisar: analizó "&amp;IF(G22="","falta responsable",G22),IF(G22="","Falta responsable","Ocupada por "&amp;G22))))))</f>
        <v>Disponible</v>
      </c>
      <c r="J22" s="14" t="str">
        <f aca="false">IF(AND(N22&lt;&gt;"",N22=G22),"El revisor no puede ser el responsable",IF(AND(OR(H22="Analizado",H22="En revisión",H22="Aprobado"),K22=""),"Falta la fuente del análisis",IF(AND(OR(H22="Aprobado",H22="En Trello"),N22=""),"Aprobado sin revisor","")))</f>
        <v/>
      </c>
      <c r="K22" s="13"/>
      <c r="L22" s="13"/>
      <c r="M22" s="13"/>
      <c r="N22" s="13"/>
      <c r="O22" s="15"/>
      <c r="P22" s="15"/>
      <c r="Q22" s="13"/>
    </row>
    <row r="23" customFormat="false" ht="15" hidden="false" customHeight="true" outlineLevel="0" collapsed="false">
      <c r="A23" s="12" t="s">
        <v>1241</v>
      </c>
      <c r="B23" s="13"/>
      <c r="C23" s="13"/>
      <c r="D23" s="13"/>
      <c r="E23" s="13"/>
      <c r="F23" s="13"/>
      <c r="G23" s="13"/>
      <c r="H23" s="13" t="s">
        <v>1229</v>
      </c>
      <c r="I23" s="14" t="str">
        <f aca="false">IF(OR(H23="",H23="Libre"),"Disponible",IF(H23="Bloqueado","Bloqueada: "&amp;IF(M23="","falta motivo",M23),IF(OR(H23="Aprobado",H23="En Trello"),"Cerrada",IF(H23="En revisión","En revisión: "&amp;IF(N23="","falta revisor",N23),IF(H23="Analizado","Lista para revisar: analizó "&amp;IF(G23="","falta responsable",G23),IF(G23="","Falta responsable","Ocupada por "&amp;G23))))))</f>
        <v>Disponible</v>
      </c>
      <c r="J23" s="14" t="str">
        <f aca="false">IF(AND(N23&lt;&gt;"",N23=G23),"El revisor no puede ser el responsable",IF(AND(OR(H23="Analizado",H23="En revisión",H23="Aprobado"),K23=""),"Falta la fuente del análisis",IF(AND(OR(H23="Aprobado",H23="En Trello"),N23=""),"Aprobado sin revisor","")))</f>
        <v/>
      </c>
      <c r="K23" s="13"/>
      <c r="L23" s="13"/>
      <c r="M23" s="13"/>
      <c r="N23" s="13"/>
      <c r="O23" s="15"/>
      <c r="P23" s="15"/>
      <c r="Q23" s="13"/>
    </row>
    <row r="24" customFormat="false" ht="15" hidden="false" customHeight="true" outlineLevel="0" collapsed="false">
      <c r="A24" s="12" t="s">
        <v>1242</v>
      </c>
      <c r="B24" s="13"/>
      <c r="C24" s="13"/>
      <c r="D24" s="13"/>
      <c r="E24" s="13"/>
      <c r="F24" s="13"/>
      <c r="G24" s="13"/>
      <c r="H24" s="13" t="s">
        <v>1229</v>
      </c>
      <c r="I24" s="14" t="str">
        <f aca="false">IF(OR(H24="",H24="Libre"),"Disponible",IF(H24="Bloqueado","Bloqueada: "&amp;IF(M24="","falta motivo",M24),IF(OR(H24="Aprobado",H24="En Trello"),"Cerrada",IF(H24="En revisión","En revisión: "&amp;IF(N24="","falta revisor",N24),IF(H24="Analizado","Lista para revisar: analizó "&amp;IF(G24="","falta responsable",G24),IF(G24="","Falta responsable","Ocupada por "&amp;G24))))))</f>
        <v>Disponible</v>
      </c>
      <c r="J24" s="14" t="str">
        <f aca="false">IF(AND(N24&lt;&gt;"",N24=G24),"El revisor no puede ser el responsable",IF(AND(OR(H24="Analizado",H24="En revisión",H24="Aprobado"),K24=""),"Falta la fuente del análisis",IF(AND(OR(H24="Aprobado",H24="En Trello"),N24=""),"Aprobado sin revisor","")))</f>
        <v/>
      </c>
      <c r="K24" s="13"/>
      <c r="L24" s="13"/>
      <c r="M24" s="13"/>
      <c r="N24" s="13"/>
      <c r="O24" s="15"/>
      <c r="P24" s="15"/>
      <c r="Q24" s="13"/>
    </row>
    <row r="25" customFormat="false" ht="15" hidden="false" customHeight="true" outlineLevel="0" collapsed="false">
      <c r="A25" s="12" t="s">
        <v>1243</v>
      </c>
      <c r="B25" s="13"/>
      <c r="C25" s="13"/>
      <c r="D25" s="13"/>
      <c r="E25" s="13"/>
      <c r="F25" s="13"/>
      <c r="G25" s="13"/>
      <c r="H25" s="13" t="s">
        <v>1229</v>
      </c>
      <c r="I25" s="14" t="str">
        <f aca="false">IF(OR(H25="",H25="Libre"),"Disponible",IF(H25="Bloqueado","Bloqueada: "&amp;IF(M25="","falta motivo",M25),IF(OR(H25="Aprobado",H25="En Trello"),"Cerrada",IF(H25="En revisión","En revisión: "&amp;IF(N25="","falta revisor",N25),IF(H25="Analizado","Lista para revisar: analizó "&amp;IF(G25="","falta responsable",G25),IF(G25="","Falta responsable","Ocupada por "&amp;G25))))))</f>
        <v>Disponible</v>
      </c>
      <c r="J25" s="14" t="str">
        <f aca="false">IF(AND(N25&lt;&gt;"",N25=G25),"El revisor no puede ser el responsable",IF(AND(OR(H25="Analizado",H25="En revisión",H25="Aprobado"),K25=""),"Falta la fuente del análisis",IF(AND(OR(H25="Aprobado",H25="En Trello"),N25=""),"Aprobado sin revisor","")))</f>
        <v/>
      </c>
      <c r="K25" s="13"/>
      <c r="L25" s="13"/>
      <c r="M25" s="13"/>
      <c r="N25" s="13"/>
      <c r="O25" s="15"/>
      <c r="P25" s="15"/>
      <c r="Q25" s="13"/>
    </row>
    <row r="26" customFormat="false" ht="15" hidden="false" customHeight="true" outlineLevel="0" collapsed="false">
      <c r="A26" s="12" t="s">
        <v>1244</v>
      </c>
      <c r="B26" s="13"/>
      <c r="C26" s="13"/>
      <c r="D26" s="13"/>
      <c r="E26" s="13"/>
      <c r="F26" s="13"/>
      <c r="G26" s="13"/>
      <c r="H26" s="13" t="s">
        <v>1229</v>
      </c>
      <c r="I26" s="14" t="str">
        <f aca="false">IF(OR(H26="",H26="Libre"),"Disponible",IF(H26="Bloqueado","Bloqueada: "&amp;IF(M26="","falta motivo",M26),IF(OR(H26="Aprobado",H26="En Trello"),"Cerrada",IF(H26="En revisión","En revisión: "&amp;IF(N26="","falta revisor",N26),IF(H26="Analizado","Lista para revisar: analizó "&amp;IF(G26="","falta responsable",G26),IF(G26="","Falta responsable","Ocupada por "&amp;G26))))))</f>
        <v>Disponible</v>
      </c>
      <c r="J26" s="14" t="str">
        <f aca="false">IF(AND(N26&lt;&gt;"",N26=G26),"El revisor no puede ser el responsable",IF(AND(OR(H26="Analizado",H26="En revisión",H26="Aprobado"),K26=""),"Falta la fuente del análisis",IF(AND(OR(H26="Aprobado",H26="En Trello"),N26=""),"Aprobado sin revisor","")))</f>
        <v/>
      </c>
      <c r="K26" s="13"/>
      <c r="L26" s="13"/>
      <c r="M26" s="13"/>
      <c r="N26" s="13"/>
      <c r="O26" s="15"/>
      <c r="P26" s="15"/>
      <c r="Q26" s="13"/>
    </row>
    <row r="27" customFormat="false" ht="15" hidden="false" customHeight="true" outlineLevel="0" collapsed="false">
      <c r="A27" s="12" t="s">
        <v>1245</v>
      </c>
      <c r="B27" s="13"/>
      <c r="C27" s="13"/>
      <c r="D27" s="13"/>
      <c r="E27" s="13"/>
      <c r="F27" s="13"/>
      <c r="G27" s="13"/>
      <c r="H27" s="13" t="s">
        <v>1229</v>
      </c>
      <c r="I27" s="14" t="str">
        <f aca="false">IF(OR(H27="",H27="Libre"),"Disponible",IF(H27="Bloqueado","Bloqueada: "&amp;IF(M27="","falta motivo",M27),IF(OR(H27="Aprobado",H27="En Trello"),"Cerrada",IF(H27="En revisión","En revisión: "&amp;IF(N27="","falta revisor",N27),IF(H27="Analizado","Lista para revisar: analizó "&amp;IF(G27="","falta responsable",G27),IF(G27="","Falta responsable","Ocupada por "&amp;G27))))))</f>
        <v>Disponible</v>
      </c>
      <c r="J27" s="14" t="str">
        <f aca="false">IF(AND(N27&lt;&gt;"",N27=G27),"El revisor no puede ser el responsable",IF(AND(OR(H27="Analizado",H27="En revisión",H27="Aprobado"),K27=""),"Falta la fuente del análisis",IF(AND(OR(H27="Aprobado",H27="En Trello"),N27=""),"Aprobado sin revisor","")))</f>
        <v/>
      </c>
      <c r="K27" s="13"/>
      <c r="L27" s="13"/>
      <c r="M27" s="13"/>
      <c r="N27" s="13"/>
      <c r="O27" s="15"/>
      <c r="P27" s="15"/>
      <c r="Q27" s="13"/>
    </row>
    <row r="28" customFormat="false" ht="15" hidden="false" customHeight="true" outlineLevel="0" collapsed="false">
      <c r="A28" s="12" t="s">
        <v>1246</v>
      </c>
      <c r="B28" s="13"/>
      <c r="C28" s="13"/>
      <c r="D28" s="13"/>
      <c r="E28" s="13"/>
      <c r="F28" s="13"/>
      <c r="G28" s="13"/>
      <c r="H28" s="13" t="s">
        <v>1229</v>
      </c>
      <c r="I28" s="14" t="str">
        <f aca="false">IF(OR(H28="",H28="Libre"),"Disponible",IF(H28="Bloqueado","Bloqueada: "&amp;IF(M28="","falta motivo",M28),IF(OR(H28="Aprobado",H28="En Trello"),"Cerrada",IF(H28="En revisión","En revisión: "&amp;IF(N28="","falta revisor",N28),IF(H28="Analizado","Lista para revisar: analizó "&amp;IF(G28="","falta responsable",G28),IF(G28="","Falta responsable","Ocupada por "&amp;G28))))))</f>
        <v>Disponible</v>
      </c>
      <c r="J28" s="14" t="str">
        <f aca="false">IF(AND(N28&lt;&gt;"",N28=G28),"El revisor no puede ser el responsable",IF(AND(OR(H28="Analizado",H28="En revisión",H28="Aprobado"),K28=""),"Falta la fuente del análisis",IF(AND(OR(H28="Aprobado",H28="En Trello"),N28=""),"Aprobado sin revisor","")))</f>
        <v/>
      </c>
      <c r="K28" s="13"/>
      <c r="L28" s="13"/>
      <c r="M28" s="13"/>
      <c r="N28" s="13"/>
      <c r="O28" s="15"/>
      <c r="P28" s="15"/>
      <c r="Q28" s="13"/>
    </row>
    <row r="29" customFormat="false" ht="15" hidden="false" customHeight="true" outlineLevel="0" collapsed="false">
      <c r="A29" s="12" t="s">
        <v>1247</v>
      </c>
      <c r="B29" s="13"/>
      <c r="C29" s="13"/>
      <c r="D29" s="13"/>
      <c r="E29" s="13"/>
      <c r="F29" s="13"/>
      <c r="G29" s="13"/>
      <c r="H29" s="13" t="s">
        <v>1229</v>
      </c>
      <c r="I29" s="14" t="str">
        <f aca="false">IF(OR(H29="",H29="Libre"),"Disponible",IF(H29="Bloqueado","Bloqueada: "&amp;IF(M29="","falta motivo",M29),IF(OR(H29="Aprobado",H29="En Trello"),"Cerrada",IF(H29="En revisión","En revisión: "&amp;IF(N29="","falta revisor",N29),IF(H29="Analizado","Lista para revisar: analizó "&amp;IF(G29="","falta responsable",G29),IF(G29="","Falta responsable","Ocupada por "&amp;G29))))))</f>
        <v>Disponible</v>
      </c>
      <c r="J29" s="14" t="str">
        <f aca="false">IF(AND(N29&lt;&gt;"",N29=G29),"El revisor no puede ser el responsable",IF(AND(OR(H29="Analizado",H29="En revisión",H29="Aprobado"),K29=""),"Falta la fuente del análisis",IF(AND(OR(H29="Aprobado",H29="En Trello"),N29=""),"Aprobado sin revisor","")))</f>
        <v/>
      </c>
      <c r="K29" s="13"/>
      <c r="L29" s="13"/>
      <c r="M29" s="13"/>
      <c r="N29" s="13"/>
      <c r="O29" s="15"/>
      <c r="P29" s="15"/>
      <c r="Q29" s="13"/>
    </row>
    <row r="30" customFormat="false" ht="15" hidden="false" customHeight="true" outlineLevel="0" collapsed="false">
      <c r="A30" s="12" t="s">
        <v>1248</v>
      </c>
      <c r="B30" s="13"/>
      <c r="C30" s="13"/>
      <c r="D30" s="13"/>
      <c r="E30" s="13"/>
      <c r="F30" s="13"/>
      <c r="G30" s="13"/>
      <c r="H30" s="13" t="s">
        <v>1229</v>
      </c>
      <c r="I30" s="14" t="str">
        <f aca="false">IF(OR(H30="",H30="Libre"),"Disponible",IF(H30="Bloqueado","Bloqueada: "&amp;IF(M30="","falta motivo",M30),IF(OR(H30="Aprobado",H30="En Trello"),"Cerrada",IF(H30="En revisión","En revisión: "&amp;IF(N30="","falta revisor",N30),IF(H30="Analizado","Lista para revisar: analizó "&amp;IF(G30="","falta responsable",G30),IF(G30="","Falta responsable","Ocupada por "&amp;G30))))))</f>
        <v>Disponible</v>
      </c>
      <c r="J30" s="14" t="str">
        <f aca="false">IF(AND(N30&lt;&gt;"",N30=G30),"El revisor no puede ser el responsable",IF(AND(OR(H30="Analizado",H30="En revisión",H30="Aprobado"),K30=""),"Falta la fuente del análisis",IF(AND(OR(H30="Aprobado",H30="En Trello"),N30=""),"Aprobado sin revisor","")))</f>
        <v/>
      </c>
      <c r="K30" s="13"/>
      <c r="L30" s="13"/>
      <c r="M30" s="13"/>
      <c r="N30" s="13"/>
      <c r="O30" s="15"/>
      <c r="P30" s="15"/>
      <c r="Q30" s="13"/>
    </row>
    <row r="31" customFormat="false" ht="15" hidden="false" customHeight="true" outlineLevel="0" collapsed="false">
      <c r="A31" s="12" t="s">
        <v>1249</v>
      </c>
      <c r="B31" s="13"/>
      <c r="C31" s="13"/>
      <c r="D31" s="13"/>
      <c r="E31" s="13"/>
      <c r="F31" s="13"/>
      <c r="G31" s="13"/>
      <c r="H31" s="13" t="s">
        <v>1229</v>
      </c>
      <c r="I31" s="14" t="str">
        <f aca="false">IF(OR(H31="",H31="Libre"),"Disponible",IF(H31="Bloqueado","Bloqueada: "&amp;IF(M31="","falta motivo",M31),IF(OR(H31="Aprobado",H31="En Trello"),"Cerrada",IF(H31="En revisión","En revisión: "&amp;IF(N31="","falta revisor",N31),IF(H31="Analizado","Lista para revisar: analizó "&amp;IF(G31="","falta responsable",G31),IF(G31="","Falta responsable","Ocupada por "&amp;G31))))))</f>
        <v>Disponible</v>
      </c>
      <c r="J31" s="14" t="str">
        <f aca="false">IF(AND(N31&lt;&gt;"",N31=G31),"El revisor no puede ser el responsable",IF(AND(OR(H31="Analizado",H31="En revisión",H31="Aprobado"),K31=""),"Falta la fuente del análisis",IF(AND(OR(H31="Aprobado",H31="En Trello"),N31=""),"Aprobado sin revisor","")))</f>
        <v/>
      </c>
      <c r="K31" s="13"/>
      <c r="L31" s="13"/>
      <c r="M31" s="13"/>
      <c r="N31" s="13"/>
      <c r="O31" s="15"/>
      <c r="P31" s="15"/>
      <c r="Q31" s="13"/>
    </row>
    <row r="32" customFormat="false" ht="15" hidden="false" customHeight="true" outlineLevel="0" collapsed="false">
      <c r="A32" s="12" t="s">
        <v>1250</v>
      </c>
      <c r="B32" s="13"/>
      <c r="C32" s="13"/>
      <c r="D32" s="13"/>
      <c r="E32" s="13"/>
      <c r="F32" s="13"/>
      <c r="G32" s="13"/>
      <c r="H32" s="13" t="s">
        <v>1229</v>
      </c>
      <c r="I32" s="14" t="str">
        <f aca="false">IF(OR(H32="",H32="Libre"),"Disponible",IF(H32="Bloqueado","Bloqueada: "&amp;IF(M32="","falta motivo",M32),IF(OR(H32="Aprobado",H32="En Trello"),"Cerrada",IF(H32="En revisión","En revisión: "&amp;IF(N32="","falta revisor",N32),IF(H32="Analizado","Lista para revisar: analizó "&amp;IF(G32="","falta responsable",G32),IF(G32="","Falta responsable","Ocupada por "&amp;G32))))))</f>
        <v>Disponible</v>
      </c>
      <c r="J32" s="14" t="str">
        <f aca="false">IF(AND(N32&lt;&gt;"",N32=G32),"El revisor no puede ser el responsable",IF(AND(OR(H32="Analizado",H32="En revisión",H32="Aprobado"),K32=""),"Falta la fuente del análisis",IF(AND(OR(H32="Aprobado",H32="En Trello"),N32=""),"Aprobado sin revisor","")))</f>
        <v/>
      </c>
      <c r="K32" s="13"/>
      <c r="L32" s="13"/>
      <c r="M32" s="13"/>
      <c r="N32" s="13"/>
      <c r="O32" s="15"/>
      <c r="P32" s="15"/>
      <c r="Q32" s="13"/>
    </row>
    <row r="33" customFormat="false" ht="15" hidden="false" customHeight="true" outlineLevel="0" collapsed="false">
      <c r="A33" s="12" t="s">
        <v>1251</v>
      </c>
      <c r="B33" s="13"/>
      <c r="C33" s="13"/>
      <c r="D33" s="13"/>
      <c r="E33" s="13"/>
      <c r="F33" s="13"/>
      <c r="G33" s="13"/>
      <c r="H33" s="13" t="s">
        <v>1229</v>
      </c>
      <c r="I33" s="14" t="str">
        <f aca="false">IF(OR(H33="",H33="Libre"),"Disponible",IF(H33="Bloqueado","Bloqueada: "&amp;IF(M33="","falta motivo",M33),IF(OR(H33="Aprobado",H33="En Trello"),"Cerrada",IF(H33="En revisión","En revisión: "&amp;IF(N33="","falta revisor",N33),IF(H33="Analizado","Lista para revisar: analizó "&amp;IF(G33="","falta responsable",G33),IF(G33="","Falta responsable","Ocupada por "&amp;G33))))))</f>
        <v>Disponible</v>
      </c>
      <c r="J33" s="14" t="str">
        <f aca="false">IF(AND(N33&lt;&gt;"",N33=G33),"El revisor no puede ser el responsable",IF(AND(OR(H33="Analizado",H33="En revisión",H33="Aprobado"),K33=""),"Falta la fuente del análisis",IF(AND(OR(H33="Aprobado",H33="En Trello"),N33=""),"Aprobado sin revisor","")))</f>
        <v/>
      </c>
      <c r="K33" s="13"/>
      <c r="L33" s="13"/>
      <c r="M33" s="13"/>
      <c r="N33" s="13"/>
      <c r="O33" s="15"/>
      <c r="P33" s="15"/>
      <c r="Q33" s="13"/>
    </row>
    <row r="34" customFormat="false" ht="15" hidden="false" customHeight="true" outlineLevel="0" collapsed="false">
      <c r="A34" s="12" t="s">
        <v>1252</v>
      </c>
      <c r="B34" s="13"/>
      <c r="C34" s="13"/>
      <c r="D34" s="13"/>
      <c r="E34" s="13"/>
      <c r="F34" s="13"/>
      <c r="G34" s="13"/>
      <c r="H34" s="13" t="s">
        <v>1229</v>
      </c>
      <c r="I34" s="14" t="str">
        <f aca="false">IF(OR(H34="",H34="Libre"),"Disponible",IF(H34="Bloqueado","Bloqueada: "&amp;IF(M34="","falta motivo",M34),IF(OR(H34="Aprobado",H34="En Trello"),"Cerrada",IF(H34="En revisión","En revisión: "&amp;IF(N34="","falta revisor",N34),IF(H34="Analizado","Lista para revisar: analizó "&amp;IF(G34="","falta responsable",G34),IF(G34="","Falta responsable","Ocupada por "&amp;G34))))))</f>
        <v>Disponible</v>
      </c>
      <c r="J34" s="14" t="str">
        <f aca="false">IF(AND(N34&lt;&gt;"",N34=G34),"El revisor no puede ser el responsable",IF(AND(OR(H34="Analizado",H34="En revisión",H34="Aprobado"),K34=""),"Falta la fuente del análisis",IF(AND(OR(H34="Aprobado",H34="En Trello"),N34=""),"Aprobado sin revisor","")))</f>
        <v/>
      </c>
      <c r="K34" s="13"/>
      <c r="L34" s="13"/>
      <c r="M34" s="13"/>
      <c r="N34" s="13"/>
      <c r="O34" s="15"/>
      <c r="P34" s="15"/>
      <c r="Q34" s="13"/>
    </row>
    <row r="35" customFormat="false" ht="15" hidden="false" customHeight="true" outlineLevel="0" collapsed="false">
      <c r="A35" s="12" t="s">
        <v>1253</v>
      </c>
      <c r="B35" s="13"/>
      <c r="C35" s="13"/>
      <c r="D35" s="13"/>
      <c r="E35" s="13"/>
      <c r="F35" s="13"/>
      <c r="G35" s="13"/>
      <c r="H35" s="13" t="s">
        <v>1229</v>
      </c>
      <c r="I35" s="14" t="str">
        <f aca="false">IF(OR(H35="",H35="Libre"),"Disponible",IF(H35="Bloqueado","Bloqueada: "&amp;IF(M35="","falta motivo",M35),IF(OR(H35="Aprobado",H35="En Trello"),"Cerrada",IF(H35="En revisión","En revisión: "&amp;IF(N35="","falta revisor",N35),IF(H35="Analizado","Lista para revisar: analizó "&amp;IF(G35="","falta responsable",G35),IF(G35="","Falta responsable","Ocupada por "&amp;G35))))))</f>
        <v>Disponible</v>
      </c>
      <c r="J35" s="14" t="str">
        <f aca="false">IF(AND(N35&lt;&gt;"",N35=G35),"El revisor no puede ser el responsable",IF(AND(OR(H35="Analizado",H35="En revisión",H35="Aprobado"),K35=""),"Falta la fuente del análisis",IF(AND(OR(H35="Aprobado",H35="En Trello"),N35=""),"Aprobado sin revisor","")))</f>
        <v/>
      </c>
      <c r="K35" s="13"/>
      <c r="L35" s="13"/>
      <c r="M35" s="13"/>
      <c r="N35" s="13"/>
      <c r="O35" s="15"/>
      <c r="P35" s="15"/>
      <c r="Q35" s="13"/>
    </row>
    <row r="36" customFormat="false" ht="15" hidden="false" customHeight="true" outlineLevel="0" collapsed="false">
      <c r="A36" s="12" t="s">
        <v>1254</v>
      </c>
      <c r="B36" s="13"/>
      <c r="C36" s="13"/>
      <c r="D36" s="13"/>
      <c r="E36" s="13"/>
      <c r="F36" s="13"/>
      <c r="G36" s="13"/>
      <c r="H36" s="13" t="s">
        <v>1229</v>
      </c>
      <c r="I36" s="14" t="str">
        <f aca="false">IF(OR(H36="",H36="Libre"),"Disponible",IF(H36="Bloqueado","Bloqueada: "&amp;IF(M36="","falta motivo",M36),IF(OR(H36="Aprobado",H36="En Trello"),"Cerrada",IF(H36="En revisión","En revisión: "&amp;IF(N36="","falta revisor",N36),IF(H36="Analizado","Lista para revisar: analizó "&amp;IF(G36="","falta responsable",G36),IF(G36="","Falta responsable","Ocupada por "&amp;G36))))))</f>
        <v>Disponible</v>
      </c>
      <c r="J36" s="14" t="str">
        <f aca="false">IF(AND(N36&lt;&gt;"",N36=G36),"El revisor no puede ser el responsable",IF(AND(OR(H36="Analizado",H36="En revisión",H36="Aprobado"),K36=""),"Falta la fuente del análisis",IF(AND(OR(H36="Aprobado",H36="En Trello"),N36=""),"Aprobado sin revisor","")))</f>
        <v/>
      </c>
      <c r="K36" s="13"/>
      <c r="L36" s="13"/>
      <c r="M36" s="13"/>
      <c r="N36" s="13"/>
      <c r="O36" s="15"/>
      <c r="P36" s="15"/>
      <c r="Q36" s="13"/>
    </row>
    <row r="37" customFormat="false" ht="15" hidden="false" customHeight="true" outlineLevel="0" collapsed="false">
      <c r="A37" s="12" t="s">
        <v>1255</v>
      </c>
      <c r="B37" s="13"/>
      <c r="C37" s="13"/>
      <c r="D37" s="13"/>
      <c r="E37" s="13"/>
      <c r="F37" s="13"/>
      <c r="G37" s="13"/>
      <c r="H37" s="13" t="s">
        <v>1229</v>
      </c>
      <c r="I37" s="14" t="str">
        <f aca="false">IF(OR(H37="",H37="Libre"),"Disponible",IF(H37="Bloqueado","Bloqueada: "&amp;IF(M37="","falta motivo",M37),IF(OR(H37="Aprobado",H37="En Trello"),"Cerrada",IF(H37="En revisión","En revisión: "&amp;IF(N37="","falta revisor",N37),IF(H37="Analizado","Lista para revisar: analizó "&amp;IF(G37="","falta responsable",G37),IF(G37="","Falta responsable","Ocupada por "&amp;G37))))))</f>
        <v>Disponible</v>
      </c>
      <c r="J37" s="14" t="str">
        <f aca="false">IF(AND(N37&lt;&gt;"",N37=G37),"El revisor no puede ser el responsable",IF(AND(OR(H37="Analizado",H37="En revisión",H37="Aprobado"),K37=""),"Falta la fuente del análisis",IF(AND(OR(H37="Aprobado",H37="En Trello"),N37=""),"Aprobado sin revisor","")))</f>
        <v/>
      </c>
      <c r="K37" s="13"/>
      <c r="L37" s="13"/>
      <c r="M37" s="13"/>
      <c r="N37" s="13"/>
      <c r="O37" s="15"/>
      <c r="P37" s="15"/>
      <c r="Q37" s="13"/>
    </row>
    <row r="38" customFormat="false" ht="15" hidden="false" customHeight="true" outlineLevel="0" collapsed="false">
      <c r="A38" s="12" t="s">
        <v>1256</v>
      </c>
      <c r="B38" s="13"/>
      <c r="C38" s="13"/>
      <c r="D38" s="13"/>
      <c r="E38" s="13"/>
      <c r="F38" s="13"/>
      <c r="G38" s="13"/>
      <c r="H38" s="13" t="s">
        <v>1229</v>
      </c>
      <c r="I38" s="14" t="str">
        <f aca="false">IF(OR(H38="",H38="Libre"),"Disponible",IF(H38="Bloqueado","Bloqueada: "&amp;IF(M38="","falta motivo",M38),IF(OR(H38="Aprobado",H38="En Trello"),"Cerrada",IF(H38="En revisión","En revisión: "&amp;IF(N38="","falta revisor",N38),IF(H38="Analizado","Lista para revisar: analizó "&amp;IF(G38="","falta responsable",G38),IF(G38="","Falta responsable","Ocupada por "&amp;G38))))))</f>
        <v>Disponible</v>
      </c>
      <c r="J38" s="14" t="str">
        <f aca="false">IF(AND(N38&lt;&gt;"",N38=G38),"El revisor no puede ser el responsable",IF(AND(OR(H38="Analizado",H38="En revisión",H38="Aprobado"),K38=""),"Falta la fuente del análisis",IF(AND(OR(H38="Aprobado",H38="En Trello"),N38=""),"Aprobado sin revisor","")))</f>
        <v/>
      </c>
      <c r="K38" s="13"/>
      <c r="L38" s="13"/>
      <c r="M38" s="13"/>
      <c r="N38" s="13"/>
      <c r="O38" s="15"/>
      <c r="P38" s="15"/>
      <c r="Q38" s="13"/>
    </row>
    <row r="39" customFormat="false" ht="15" hidden="false" customHeight="true" outlineLevel="0" collapsed="false">
      <c r="A39" s="12" t="s">
        <v>1257</v>
      </c>
      <c r="B39" s="13"/>
      <c r="C39" s="13"/>
      <c r="D39" s="13"/>
      <c r="E39" s="13"/>
      <c r="F39" s="13"/>
      <c r="G39" s="13"/>
      <c r="H39" s="13" t="s">
        <v>1229</v>
      </c>
      <c r="I39" s="14" t="str">
        <f aca="false">IF(OR(H39="",H39="Libre"),"Disponible",IF(H39="Bloqueado","Bloqueada: "&amp;IF(M39="","falta motivo",M39),IF(OR(H39="Aprobado",H39="En Trello"),"Cerrada",IF(H39="En revisión","En revisión: "&amp;IF(N39="","falta revisor",N39),IF(H39="Analizado","Lista para revisar: analizó "&amp;IF(G39="","falta responsable",G39),IF(G39="","Falta responsable","Ocupada por "&amp;G39))))))</f>
        <v>Disponible</v>
      </c>
      <c r="J39" s="14" t="str">
        <f aca="false">IF(AND(N39&lt;&gt;"",N39=G39),"El revisor no puede ser el responsable",IF(AND(OR(H39="Analizado",H39="En revisión",H39="Aprobado"),K39=""),"Falta la fuente del análisis",IF(AND(OR(H39="Aprobado",H39="En Trello"),N39=""),"Aprobado sin revisor","")))</f>
        <v/>
      </c>
      <c r="K39" s="13"/>
      <c r="L39" s="13"/>
      <c r="M39" s="13"/>
      <c r="N39" s="13"/>
      <c r="O39" s="15"/>
      <c r="P39" s="15"/>
      <c r="Q39" s="13"/>
    </row>
    <row r="40" customFormat="false" ht="15" hidden="false" customHeight="true" outlineLevel="0" collapsed="false">
      <c r="A40" s="12" t="s">
        <v>1258</v>
      </c>
      <c r="B40" s="13"/>
      <c r="C40" s="13"/>
      <c r="D40" s="13"/>
      <c r="E40" s="13"/>
      <c r="F40" s="13"/>
      <c r="G40" s="13"/>
      <c r="H40" s="13" t="s">
        <v>1229</v>
      </c>
      <c r="I40" s="14" t="str">
        <f aca="false">IF(OR(H40="",H40="Libre"),"Disponible",IF(H40="Bloqueado","Bloqueada: "&amp;IF(M40="","falta motivo",M40),IF(OR(H40="Aprobado",H40="En Trello"),"Cerrada",IF(H40="En revisión","En revisión: "&amp;IF(N40="","falta revisor",N40),IF(H40="Analizado","Lista para revisar: analizó "&amp;IF(G40="","falta responsable",G40),IF(G40="","Falta responsable","Ocupada por "&amp;G40))))))</f>
        <v>Disponible</v>
      </c>
      <c r="J40" s="14" t="str">
        <f aca="false">IF(AND(N40&lt;&gt;"",N40=G40),"El revisor no puede ser el responsable",IF(AND(OR(H40="Analizado",H40="En revisión",H40="Aprobado"),K40=""),"Falta la fuente del análisis",IF(AND(OR(H40="Aprobado",H40="En Trello"),N40=""),"Aprobado sin revisor","")))</f>
        <v/>
      </c>
      <c r="K40" s="13"/>
      <c r="L40" s="13"/>
      <c r="M40" s="13"/>
      <c r="N40" s="13"/>
      <c r="O40" s="15"/>
      <c r="P40" s="15"/>
      <c r="Q40" s="13"/>
    </row>
    <row r="41" customFormat="false" ht="15" hidden="false" customHeight="true" outlineLevel="0" collapsed="false">
      <c r="A41" s="12" t="s">
        <v>1259</v>
      </c>
      <c r="B41" s="13"/>
      <c r="C41" s="13"/>
      <c r="D41" s="13"/>
      <c r="E41" s="13"/>
      <c r="F41" s="13"/>
      <c r="G41" s="13"/>
      <c r="H41" s="13" t="s">
        <v>1229</v>
      </c>
      <c r="I41" s="14" t="str">
        <f aca="false">IF(OR(H41="",H41="Libre"),"Disponible",IF(H41="Bloqueado","Bloqueada: "&amp;IF(M41="","falta motivo",M41),IF(OR(H41="Aprobado",H41="En Trello"),"Cerrada",IF(H41="En revisión","En revisión: "&amp;IF(N41="","falta revisor",N41),IF(H41="Analizado","Lista para revisar: analizó "&amp;IF(G41="","falta responsable",G41),IF(G41="","Falta responsable","Ocupada por "&amp;G41))))))</f>
        <v>Disponible</v>
      </c>
      <c r="J41" s="14" t="str">
        <f aca="false">IF(AND(N41&lt;&gt;"",N41=G41),"El revisor no puede ser el responsable",IF(AND(OR(H41="Analizado",H41="En revisión",H41="Aprobado"),K41=""),"Falta la fuente del análisis",IF(AND(OR(H41="Aprobado",H41="En Trello"),N41=""),"Aprobado sin revisor","")))</f>
        <v/>
      </c>
      <c r="K41" s="13"/>
      <c r="L41" s="13"/>
      <c r="M41" s="13"/>
      <c r="N41" s="13"/>
      <c r="O41" s="15"/>
      <c r="P41" s="15"/>
      <c r="Q41" s="13"/>
    </row>
  </sheetData>
  <autoFilter ref="A1:Q41"/>
  <conditionalFormatting sqref="I2:I41">
    <cfRule type="expression" priority="2" aboveAverage="0" equalAverage="0" bottom="0" percent="0" rank="0" text="" dxfId="11">
      <formula>LEFT(I2,10)="Disponible"</formula>
    </cfRule>
    <cfRule type="expression" priority="3" aboveAverage="0" equalAverage="0" bottom="0" percent="0" rank="0" text="" dxfId="12">
      <formula>LEFT(I2,7)="Ocupada"</formula>
    </cfRule>
    <cfRule type="expression" priority="4" aboveAverage="0" equalAverage="0" bottom="0" percent="0" rank="0" text="" dxfId="13">
      <formula>LEFT(I2,9)="Bloqueada"</formula>
    </cfRule>
    <cfRule type="expression" priority="5" aboveAverage="0" equalAverage="0" bottom="0" percent="0" rank="0" text="" dxfId="14">
      <formula>LEFT(I2,7)="Cerrada"</formula>
    </cfRule>
    <cfRule type="expression" priority="6" aboveAverage="0" equalAverage="0" bottom="0" percent="0" rank="0" text="" dxfId="15">
      <formula>LEFT(I2,11)="En revisión"</formula>
    </cfRule>
    <cfRule type="expression" priority="7" aboveAverage="0" equalAverage="0" bottom="0" percent="0" rank="0" text="" dxfId="13">
      <formula>LEFT(I2,11)="Falta respo"</formula>
    </cfRule>
    <cfRule type="expression" priority="8" aboveAverage="0" equalAverage="0" bottom="0" percent="0" rank="0" text="" dxfId="16">
      <formula>LEFT(I2,10)="Lista para"</formula>
    </cfRule>
  </conditionalFormatting>
  <conditionalFormatting sqref="J2:J41">
    <cfRule type="expression" priority="9" aboveAverage="0" equalAverage="0" bottom="0" percent="0" rank="0" text="" dxfId="17">
      <formula>J2&lt;&gt;""</formula>
    </cfRule>
  </conditionalFormatting>
  <dataValidations count="4">
    <dataValidation allowBlank="true" errorStyle="stop" operator="between" showDropDown="false" showErrorMessage="false" showInputMessage="false" sqref="G2:G41 N2:N41" type="list">
      <formula1>"Juan Fernando,Juan José,Juliana,Jorge"</formula1>
      <formula2>0</formula2>
    </dataValidation>
    <dataValidation allowBlank="true" errorStyle="stop" operator="between" showDropDown="false" showErrorMessage="false" showInputMessage="false" sqref="H2:H41" type="list">
      <formula1>"Libre,En análisis,Analizado,En revisión,Aprobado,Bloqueado,En Trello"</formula1>
      <formula2>0</formula2>
    </dataValidation>
    <dataValidation allowBlank="true" errorStyle="stop" operator="between" showDropDown="false" showErrorMessage="false" showInputMessage="false" sqref="K2:K41" type="list">
      <formula1>"Hoja del PDF del anexo,Prompt con IA,Documento del docente,Retroalimentación del docente,Decisión del equipo,Análisis propio"</formula1>
      <formula2>0</formula2>
    </dataValidation>
    <dataValidation allowBlank="true" errorStyle="stop" operator="between" showDropDown="false" showErrorMessage="false" showInputMessage="false" sqref="E2:E41" type="list">
      <formula1>"Crear,Consultar,Actualizar,Eliminar,Registrar,Modificar"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13" activeCellId="0" sqref="C13"/>
    </sheetView>
  </sheetViews>
  <sheetFormatPr defaultColWidth="8.71484375" defaultRowHeight="15" zeroHeight="false" outlineLevelRow="0" outlineLevelCol="0"/>
  <cols>
    <col collapsed="false" customWidth="true" hidden="false" outlineLevel="0" max="1" min="1" style="1" width="7"/>
    <col collapsed="false" customWidth="true" hidden="false" outlineLevel="0" max="2" min="2" style="1" width="44"/>
    <col collapsed="false" customWidth="true" hidden="false" outlineLevel="0" max="3" min="3" style="1" width="26"/>
    <col collapsed="false" customWidth="true" hidden="false" outlineLevel="0" max="4" min="4" style="1" width="36"/>
    <col collapsed="false" customWidth="true" hidden="false" outlineLevel="0" max="5" min="5" style="1" width="18"/>
    <col collapsed="false" customWidth="true" hidden="false" outlineLevel="0" max="6" min="6" style="1" width="14"/>
    <col collapsed="false" customWidth="true" hidden="false" outlineLevel="0" max="7" min="7" style="1" width="12"/>
    <col collapsed="false" customWidth="true" hidden="false" outlineLevel="0" max="8" min="8" style="1" width="22"/>
    <col collapsed="false" customWidth="true" hidden="false" outlineLevel="0" max="9" min="9" style="1" width="40"/>
    <col collapsed="false" customWidth="false" hidden="false" outlineLevel="0" max="16384" min="10" style="1" width="8.71"/>
  </cols>
  <sheetData>
    <row r="1" customFormat="false" ht="42" hidden="false" customHeight="true" outlineLevel="0" collapsed="false">
      <c r="A1" s="8" t="s">
        <v>47</v>
      </c>
      <c r="B1" s="8" t="s">
        <v>1260</v>
      </c>
      <c r="C1" s="8" t="s">
        <v>1261</v>
      </c>
      <c r="D1" s="9" t="s">
        <v>1262</v>
      </c>
      <c r="E1" s="9" t="s">
        <v>1263</v>
      </c>
      <c r="F1" s="9" t="s">
        <v>1264</v>
      </c>
      <c r="G1" s="9" t="s">
        <v>149</v>
      </c>
      <c r="H1" s="9" t="s">
        <v>1064</v>
      </c>
      <c r="I1" s="9" t="s">
        <v>1265</v>
      </c>
    </row>
    <row r="2" customFormat="false" ht="60" hidden="false" customHeight="true" outlineLevel="0" collapsed="false">
      <c r="A2" s="12" t="s">
        <v>1266</v>
      </c>
      <c r="B2" s="12" t="s">
        <v>1267</v>
      </c>
      <c r="C2" s="12" t="s">
        <v>1268</v>
      </c>
      <c r="D2" s="13" t="s">
        <v>1269</v>
      </c>
      <c r="E2" s="13" t="s">
        <v>1270</v>
      </c>
      <c r="F2" s="13"/>
      <c r="G2" s="15"/>
      <c r="H2" s="13" t="s">
        <v>1271</v>
      </c>
      <c r="I2" s="13" t="s">
        <v>1272</v>
      </c>
    </row>
    <row r="3" customFormat="false" ht="24" hidden="false" customHeight="true" outlineLevel="0" collapsed="false">
      <c r="A3" s="12" t="s">
        <v>1273</v>
      </c>
      <c r="B3" s="12" t="s">
        <v>1274</v>
      </c>
      <c r="C3" s="12" t="s">
        <v>1275</v>
      </c>
      <c r="D3" s="13" t="s">
        <v>1276</v>
      </c>
      <c r="E3" s="13" t="s">
        <v>1270</v>
      </c>
      <c r="F3" s="13"/>
      <c r="G3" s="15"/>
      <c r="H3" s="13"/>
      <c r="I3" s="13" t="s">
        <v>1277</v>
      </c>
    </row>
    <row r="4" customFormat="false" ht="24" hidden="false" customHeight="true" outlineLevel="0" collapsed="false">
      <c r="A4" s="12" t="s">
        <v>1278</v>
      </c>
      <c r="B4" s="12" t="s">
        <v>1279</v>
      </c>
      <c r="C4" s="12" t="s">
        <v>1280</v>
      </c>
      <c r="D4" s="13" t="s">
        <v>1281</v>
      </c>
      <c r="E4" s="13" t="s">
        <v>1270</v>
      </c>
      <c r="F4" s="13"/>
      <c r="G4" s="15"/>
      <c r="H4" s="13"/>
      <c r="I4" s="13"/>
    </row>
    <row r="5" customFormat="false" ht="15" hidden="false" customHeight="true" outlineLevel="0" collapsed="false">
      <c r="A5" s="12" t="s">
        <v>1282</v>
      </c>
      <c r="B5" s="12" t="s">
        <v>1283</v>
      </c>
      <c r="C5" s="12" t="s">
        <v>357</v>
      </c>
      <c r="D5" s="13" t="s">
        <v>1284</v>
      </c>
      <c r="E5" s="13" t="s">
        <v>1270</v>
      </c>
      <c r="F5" s="13"/>
      <c r="G5" s="15"/>
      <c r="H5" s="13"/>
      <c r="I5" s="13" t="s">
        <v>1285</v>
      </c>
    </row>
    <row r="6" customFormat="false" ht="15" hidden="false" customHeight="true" outlineLevel="0" collapsed="false">
      <c r="A6" s="12" t="s">
        <v>268</v>
      </c>
      <c r="B6" s="12" t="s">
        <v>1286</v>
      </c>
      <c r="C6" s="12" t="s">
        <v>1287</v>
      </c>
      <c r="D6" s="13" t="s">
        <v>1288</v>
      </c>
      <c r="E6" s="13" t="s">
        <v>1270</v>
      </c>
      <c r="F6" s="13"/>
      <c r="G6" s="15"/>
      <c r="H6" s="13"/>
      <c r="I6" s="13" t="s">
        <v>1289</v>
      </c>
    </row>
    <row r="7" customFormat="false" ht="24" hidden="false" customHeight="true" outlineLevel="0" collapsed="false">
      <c r="A7" s="12" t="s">
        <v>1290</v>
      </c>
      <c r="B7" s="12" t="s">
        <v>1291</v>
      </c>
      <c r="C7" s="12" t="s">
        <v>1292</v>
      </c>
      <c r="D7" s="13" t="s">
        <v>1293</v>
      </c>
      <c r="E7" s="13" t="s">
        <v>1270</v>
      </c>
      <c r="F7" s="13"/>
      <c r="G7" s="15"/>
      <c r="H7" s="13"/>
      <c r="I7" s="13"/>
    </row>
    <row r="8" customFormat="false" ht="15" hidden="false" customHeight="true" outlineLevel="0" collapsed="false">
      <c r="A8" s="12" t="s">
        <v>1294</v>
      </c>
      <c r="B8" s="12" t="s">
        <v>1295</v>
      </c>
      <c r="C8" s="12" t="s">
        <v>1296</v>
      </c>
      <c r="D8" s="13" t="s">
        <v>1297</v>
      </c>
      <c r="E8" s="13" t="s">
        <v>1270</v>
      </c>
      <c r="F8" s="13"/>
      <c r="G8" s="15"/>
      <c r="H8" s="13"/>
      <c r="I8" s="13" t="s">
        <v>1298</v>
      </c>
    </row>
    <row r="9" customFormat="false" ht="24" hidden="false" customHeight="true" outlineLevel="0" collapsed="false">
      <c r="A9" s="12" t="s">
        <v>1299</v>
      </c>
      <c r="B9" s="12" t="s">
        <v>1300</v>
      </c>
      <c r="C9" s="12" t="s">
        <v>1301</v>
      </c>
      <c r="D9" s="13" t="s">
        <v>1302</v>
      </c>
      <c r="E9" s="13" t="s">
        <v>1270</v>
      </c>
      <c r="F9" s="13"/>
      <c r="G9" s="15"/>
      <c r="H9" s="13"/>
      <c r="I9" s="13" t="s">
        <v>1303</v>
      </c>
    </row>
    <row r="10" customFormat="false" ht="24" hidden="false" customHeight="true" outlineLevel="0" collapsed="false">
      <c r="A10" s="12" t="s">
        <v>1304</v>
      </c>
      <c r="B10" s="12" t="s">
        <v>1305</v>
      </c>
      <c r="C10" s="12" t="s">
        <v>1306</v>
      </c>
      <c r="D10" s="13" t="s">
        <v>1307</v>
      </c>
      <c r="E10" s="13" t="s">
        <v>1270</v>
      </c>
      <c r="F10" s="13"/>
      <c r="G10" s="15"/>
      <c r="H10" s="13"/>
      <c r="I10" s="13"/>
    </row>
    <row r="11" customFormat="false" ht="24" hidden="false" customHeight="true" outlineLevel="0" collapsed="false">
      <c r="A11" s="12" t="s">
        <v>1308</v>
      </c>
      <c r="B11" s="12" t="s">
        <v>1309</v>
      </c>
      <c r="C11" s="12" t="s">
        <v>1310</v>
      </c>
      <c r="D11" s="13" t="s">
        <v>1311</v>
      </c>
      <c r="E11" s="13" t="s">
        <v>1270</v>
      </c>
      <c r="F11" s="13"/>
      <c r="G11" s="15"/>
      <c r="H11" s="13"/>
      <c r="I11" s="13"/>
    </row>
    <row r="12" customFormat="false" ht="15" hidden="false" customHeight="true" outlineLevel="0" collapsed="false">
      <c r="A12" s="12" t="s">
        <v>1312</v>
      </c>
      <c r="B12" s="12" t="s">
        <v>1313</v>
      </c>
      <c r="C12" s="12" t="s">
        <v>1314</v>
      </c>
      <c r="D12" s="13" t="s">
        <v>1315</v>
      </c>
      <c r="E12" s="13" t="s">
        <v>1270</v>
      </c>
      <c r="F12" s="13"/>
      <c r="G12" s="15"/>
      <c r="H12" s="13"/>
      <c r="I12" s="13"/>
    </row>
    <row r="13" customFormat="false" ht="15" hidden="false" customHeight="true" outlineLevel="0" collapsed="false">
      <c r="A13" s="12" t="s">
        <v>1316</v>
      </c>
      <c r="B13" s="12" t="s">
        <v>1317</v>
      </c>
      <c r="C13" s="12" t="s">
        <v>1314</v>
      </c>
      <c r="D13" s="13" t="s">
        <v>1318</v>
      </c>
      <c r="E13" s="13" t="s">
        <v>1270</v>
      </c>
      <c r="F13" s="13"/>
      <c r="G13" s="15"/>
      <c r="H13" s="13"/>
      <c r="I13" s="13"/>
    </row>
    <row r="14" customFormat="false" ht="60" hidden="false" customHeight="true" outlineLevel="0" collapsed="false">
      <c r="A14" s="12" t="s">
        <v>1319</v>
      </c>
      <c r="B14" s="12" t="s">
        <v>1320</v>
      </c>
      <c r="C14" s="12" t="s">
        <v>1321</v>
      </c>
      <c r="D14" s="13" t="s">
        <v>1322</v>
      </c>
      <c r="E14" s="13" t="s">
        <v>1270</v>
      </c>
      <c r="F14" s="13" t="s">
        <v>109</v>
      </c>
      <c r="G14" s="15" t="n">
        <v>46313</v>
      </c>
      <c r="H14" s="13" t="s">
        <v>1323</v>
      </c>
      <c r="I14" s="13" t="s">
        <v>1324</v>
      </c>
    </row>
    <row r="15" customFormat="false" ht="30.75" hidden="false" customHeight="true" outlineLevel="0" collapsed="false">
      <c r="A15" s="12" t="s">
        <v>1325</v>
      </c>
      <c r="B15" s="12" t="s">
        <v>1326</v>
      </c>
      <c r="C15" s="12" t="s">
        <v>329</v>
      </c>
      <c r="D15" s="13" t="s">
        <v>1327</v>
      </c>
      <c r="E15" s="13" t="s">
        <v>1270</v>
      </c>
      <c r="F15" s="13" t="s">
        <v>109</v>
      </c>
      <c r="G15" s="15" t="n">
        <v>46313</v>
      </c>
      <c r="H15" s="13" t="s">
        <v>1323</v>
      </c>
      <c r="I15" s="13" t="s">
        <v>1328</v>
      </c>
    </row>
    <row r="16" customFormat="false" ht="45.75" hidden="false" customHeight="true" outlineLevel="0" collapsed="false">
      <c r="A16" s="12" t="s">
        <v>1329</v>
      </c>
      <c r="B16" s="12" t="s">
        <v>1330</v>
      </c>
      <c r="C16" s="12" t="s">
        <v>1331</v>
      </c>
      <c r="D16" s="13" t="s">
        <v>1332</v>
      </c>
      <c r="E16" s="13" t="s">
        <v>1270</v>
      </c>
      <c r="F16" s="13" t="s">
        <v>109</v>
      </c>
      <c r="G16" s="15" t="n">
        <v>46313</v>
      </c>
      <c r="H16" s="13" t="s">
        <v>1333</v>
      </c>
      <c r="I16" s="13" t="s">
        <v>1334</v>
      </c>
    </row>
    <row r="17" customFormat="false" ht="124.5" hidden="false" customHeight="true" outlineLevel="0" collapsed="false">
      <c r="A17" s="12" t="s">
        <v>1335</v>
      </c>
      <c r="B17" s="12" t="s">
        <v>1336</v>
      </c>
      <c r="C17" s="12" t="s">
        <v>1337</v>
      </c>
      <c r="D17" s="13" t="s">
        <v>1338</v>
      </c>
      <c r="E17" s="13" t="s">
        <v>1270</v>
      </c>
      <c r="F17" s="13" t="s">
        <v>109</v>
      </c>
      <c r="G17" s="15" t="n">
        <v>46313</v>
      </c>
      <c r="H17" s="13" t="s">
        <v>1271</v>
      </c>
      <c r="I17" s="13" t="s">
        <v>1339</v>
      </c>
    </row>
    <row r="18" customFormat="false" ht="102" hidden="false" customHeight="true" outlineLevel="0" collapsed="false">
      <c r="A18" s="12" t="s">
        <v>1340</v>
      </c>
      <c r="B18" s="12" t="s">
        <v>1341</v>
      </c>
      <c r="C18" s="12" t="s">
        <v>1342</v>
      </c>
      <c r="D18" s="13" t="s">
        <v>1343</v>
      </c>
      <c r="E18" s="13" t="s">
        <v>1270</v>
      </c>
      <c r="F18" s="13" t="s">
        <v>109</v>
      </c>
      <c r="G18" s="15" t="n">
        <v>46313</v>
      </c>
      <c r="H18" s="13" t="s">
        <v>1271</v>
      </c>
      <c r="I18" s="13" t="s">
        <v>1344</v>
      </c>
    </row>
    <row r="19" customFormat="false" ht="68.25" hidden="false" customHeight="true" outlineLevel="0" collapsed="false">
      <c r="A19" s="12" t="s">
        <v>1345</v>
      </c>
      <c r="B19" s="12" t="s">
        <v>1346</v>
      </c>
      <c r="C19" s="12" t="s">
        <v>1347</v>
      </c>
      <c r="D19" s="13" t="s">
        <v>1348</v>
      </c>
      <c r="E19" s="13" t="s">
        <v>1270</v>
      </c>
      <c r="F19" s="13" t="s">
        <v>109</v>
      </c>
      <c r="G19" s="15" t="n">
        <v>46313</v>
      </c>
      <c r="H19" s="13" t="s">
        <v>1323</v>
      </c>
      <c r="I19" s="13" t="s">
        <v>1349</v>
      </c>
    </row>
    <row r="20" customFormat="false" ht="202.95" hidden="false" customHeight="false" outlineLevel="0" collapsed="false">
      <c r="A20" s="12" t="s">
        <v>1350</v>
      </c>
      <c r="B20" s="12" t="s">
        <v>1351</v>
      </c>
      <c r="C20" s="12" t="s">
        <v>1352</v>
      </c>
      <c r="D20" s="13" t="s">
        <v>1353</v>
      </c>
      <c r="E20" s="13" t="s">
        <v>1270</v>
      </c>
      <c r="F20" s="13" t="s">
        <v>109</v>
      </c>
      <c r="G20" s="15" t="n">
        <v>46315</v>
      </c>
      <c r="H20" s="13" t="s">
        <v>1333</v>
      </c>
      <c r="I20" s="13" t="s">
        <v>1354</v>
      </c>
    </row>
    <row r="21" customFormat="false" ht="247.75" hidden="false" customHeight="false" outlineLevel="0" collapsed="false">
      <c r="A21" s="12" t="s">
        <v>1355</v>
      </c>
      <c r="B21" s="12" t="s">
        <v>1356</v>
      </c>
      <c r="C21" s="12" t="s">
        <v>1357</v>
      </c>
      <c r="D21" s="13" t="s">
        <v>1358</v>
      </c>
      <c r="E21" s="13" t="s">
        <v>1270</v>
      </c>
      <c r="F21" s="13" t="s">
        <v>109</v>
      </c>
      <c r="G21" s="15" t="n">
        <v>46315</v>
      </c>
      <c r="H21" s="13" t="s">
        <v>1333</v>
      </c>
      <c r="I21" s="13" t="s">
        <v>1359</v>
      </c>
    </row>
    <row r="22" customFormat="false" ht="202.95" hidden="false" customHeight="false" outlineLevel="0" collapsed="false">
      <c r="A22" s="12" t="s">
        <v>1360</v>
      </c>
      <c r="B22" s="12" t="s">
        <v>1361</v>
      </c>
      <c r="C22" s="12" t="s">
        <v>1362</v>
      </c>
      <c r="D22" s="13" t="s">
        <v>1363</v>
      </c>
      <c r="E22" s="13" t="s">
        <v>1270</v>
      </c>
      <c r="F22" s="13" t="s">
        <v>109</v>
      </c>
      <c r="G22" s="15" t="n">
        <v>46315</v>
      </c>
      <c r="H22" s="13" t="s">
        <v>1323</v>
      </c>
      <c r="I22" s="13" t="s">
        <v>1364</v>
      </c>
    </row>
    <row r="23" customFormat="false" ht="91" hidden="false" customHeight="false" outlineLevel="0" collapsed="false">
      <c r="A23" s="12" t="s">
        <v>1365</v>
      </c>
      <c r="B23" s="12" t="s">
        <v>1366</v>
      </c>
      <c r="C23" s="12" t="s">
        <v>1367</v>
      </c>
      <c r="D23" s="13" t="s">
        <v>1368</v>
      </c>
      <c r="E23" s="13" t="s">
        <v>1270</v>
      </c>
      <c r="F23" s="13" t="s">
        <v>109</v>
      </c>
      <c r="G23" s="15" t="n">
        <v>46315</v>
      </c>
      <c r="H23" s="13" t="s">
        <v>1323</v>
      </c>
      <c r="I23" s="13" t="s">
        <v>1369</v>
      </c>
    </row>
    <row r="24" customFormat="false" ht="35.05" hidden="false" customHeight="false" outlineLevel="0" collapsed="false">
      <c r="A24" s="12" t="s">
        <v>1370</v>
      </c>
      <c r="B24" s="12" t="s">
        <v>1371</v>
      </c>
      <c r="C24" s="12" t="s">
        <v>1372</v>
      </c>
      <c r="D24" s="13" t="s">
        <v>1373</v>
      </c>
      <c r="E24" s="13" t="s">
        <v>1270</v>
      </c>
      <c r="F24" s="13" t="s">
        <v>109</v>
      </c>
      <c r="G24" s="15" t="n">
        <v>46315</v>
      </c>
      <c r="H24" s="13" t="s">
        <v>1333</v>
      </c>
      <c r="I24" s="13" t="s">
        <v>1374</v>
      </c>
    </row>
    <row r="25" customFormat="false" ht="68.65" hidden="false" customHeight="false" outlineLevel="0" collapsed="false">
      <c r="A25" s="12" t="s">
        <v>1375</v>
      </c>
      <c r="B25" s="12" t="s">
        <v>1376</v>
      </c>
      <c r="C25" s="12" t="s">
        <v>1377</v>
      </c>
      <c r="D25" s="13" t="s">
        <v>1378</v>
      </c>
      <c r="E25" s="13" t="s">
        <v>1270</v>
      </c>
      <c r="F25" s="13" t="s">
        <v>109</v>
      </c>
      <c r="G25" s="15" t="n">
        <v>46315</v>
      </c>
      <c r="H25" s="13" t="s">
        <v>1323</v>
      </c>
      <c r="I25" s="13" t="s">
        <v>1379</v>
      </c>
    </row>
    <row r="26" customFormat="false" ht="113.4" hidden="false" customHeight="false" outlineLevel="0" collapsed="false">
      <c r="A26" s="12" t="s">
        <v>1380</v>
      </c>
      <c r="B26" s="12" t="s">
        <v>1381</v>
      </c>
      <c r="C26" s="12" t="s">
        <v>1382</v>
      </c>
      <c r="D26" s="13" t="s">
        <v>1383</v>
      </c>
      <c r="E26" s="13" t="s">
        <v>1270</v>
      </c>
      <c r="F26" s="13" t="s">
        <v>109</v>
      </c>
      <c r="G26" s="15" t="n">
        <v>46315</v>
      </c>
      <c r="H26" s="13" t="s">
        <v>1323</v>
      </c>
      <c r="I26" s="13" t="s">
        <v>1384</v>
      </c>
    </row>
    <row r="27" customFormat="false" ht="135.8" hidden="false" customHeight="false" outlineLevel="0" collapsed="false">
      <c r="A27" s="12" t="s">
        <v>1385</v>
      </c>
      <c r="B27" s="12" t="s">
        <v>1386</v>
      </c>
      <c r="C27" s="12" t="s">
        <v>1387</v>
      </c>
      <c r="D27" s="13" t="s">
        <v>1388</v>
      </c>
      <c r="E27" s="13" t="s">
        <v>1270</v>
      </c>
      <c r="F27" s="13" t="s">
        <v>109</v>
      </c>
      <c r="G27" s="15" t="n">
        <v>46315</v>
      </c>
      <c r="H27" s="13" t="s">
        <v>1389</v>
      </c>
      <c r="I27" s="13" t="s">
        <v>1390</v>
      </c>
    </row>
    <row r="28" customFormat="false" ht="113.4" hidden="false" customHeight="false" outlineLevel="0" collapsed="false">
      <c r="A28" s="12" t="s">
        <v>1391</v>
      </c>
      <c r="B28" s="12" t="s">
        <v>702</v>
      </c>
      <c r="C28" s="12" t="s">
        <v>1392</v>
      </c>
      <c r="D28" s="13" t="s">
        <v>1393</v>
      </c>
      <c r="E28" s="13" t="s">
        <v>1270</v>
      </c>
      <c r="F28" s="13" t="s">
        <v>109</v>
      </c>
      <c r="G28" s="15" t="n">
        <v>46315</v>
      </c>
      <c r="H28" s="13" t="s">
        <v>1389</v>
      </c>
      <c r="I28" s="13" t="s">
        <v>1394</v>
      </c>
    </row>
  </sheetData>
  <conditionalFormatting sqref="E2:E50">
    <cfRule type="expression" priority="2" aboveAverage="0" equalAverage="0" bottom="0" percent="0" rank="0" text="" dxfId="13">
      <formula>E2="Pendiente"</formula>
    </cfRule>
  </conditionalFormatting>
  <dataValidations count="3">
    <dataValidation allowBlank="true" errorStyle="stop" operator="between" showDropDown="false" showErrorMessage="false" showInputMessage="false" sqref="E2:E50" type="list">
      <formula1>"Pendiente,Acordada por el equipo,Confirmada por el docente"</formula1>
      <formula2>0</formula2>
    </dataValidation>
    <dataValidation allowBlank="true" errorStyle="stop" operator="between" showDropDown="false" showErrorMessage="false" showInputMessage="false" sqref="F2:F50" type="list">
      <formula1>"Juan Fernando,Juan José,Juliana,Jorge"</formula1>
      <formula2>0</formula2>
    </dataValidation>
    <dataValidation allowBlank="true" errorStyle="stop" operator="between" showDropDown="false" showErrorMessage="false" showInputMessage="false" sqref="H2:H50" type="list">
      <formula1>"Hoja del PDF del anexo,Prompt con IA,Documento del docente,Retroalimentación del docente,Decisión del equipo,Análisis propio"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H6" activeCellId="0" sqref="H6"/>
    </sheetView>
  </sheetViews>
  <sheetFormatPr defaultColWidth="16.00390625" defaultRowHeight="15" zeroHeight="false" outlineLevelRow="0" outlineLevelCol="0"/>
  <cols>
    <col collapsed="false" customWidth="true" hidden="false" outlineLevel="0" max="1" min="1" style="1" width="10"/>
    <col collapsed="false" customWidth="true" hidden="false" outlineLevel="0" max="2" min="2" style="1" width="20"/>
    <col collapsed="false" customWidth="true" hidden="false" outlineLevel="0" max="3" min="3" style="1" width="100"/>
    <col collapsed="false" customWidth="true" hidden="false" outlineLevel="0" max="4" min="4" style="1" width="12"/>
    <col collapsed="false" customWidth="true" hidden="false" outlineLevel="0" max="5" min="5" style="1" width="40"/>
    <col collapsed="false" customWidth="false" hidden="false" outlineLevel="0" max="16384" min="6" style="1" width="16"/>
  </cols>
  <sheetData>
    <row r="1" customFormat="false" ht="42" hidden="false" customHeight="true" outlineLevel="0" collapsed="false">
      <c r="A1" s="8" t="s">
        <v>1395</v>
      </c>
      <c r="B1" s="8" t="s">
        <v>1396</v>
      </c>
      <c r="C1" s="8" t="s">
        <v>1397</v>
      </c>
      <c r="D1" s="8" t="s">
        <v>1398</v>
      </c>
      <c r="E1" s="8" t="s">
        <v>353</v>
      </c>
      <c r="F1" s="16" t="s">
        <v>1065</v>
      </c>
    </row>
    <row r="2" customFormat="false" ht="48" hidden="false" customHeight="true" outlineLevel="0" collapsed="false">
      <c r="A2" s="12" t="s">
        <v>1068</v>
      </c>
      <c r="B2" s="12" t="s">
        <v>1399</v>
      </c>
      <c r="C2" s="12" t="s">
        <v>1400</v>
      </c>
      <c r="D2" s="12" t="s">
        <v>1401</v>
      </c>
      <c r="E2" s="12" t="s">
        <v>1402</v>
      </c>
      <c r="F2" s="18" t="s">
        <v>1071</v>
      </c>
    </row>
    <row r="3" customFormat="false" ht="96" hidden="false" customHeight="true" outlineLevel="0" collapsed="false">
      <c r="A3" s="12" t="s">
        <v>1068</v>
      </c>
      <c r="B3" s="12" t="s">
        <v>1403</v>
      </c>
      <c r="C3" s="12" t="s">
        <v>1404</v>
      </c>
      <c r="D3" s="12" t="s">
        <v>1401</v>
      </c>
      <c r="E3" s="12" t="s">
        <v>1405</v>
      </c>
      <c r="F3" s="18" t="s">
        <v>1071</v>
      </c>
    </row>
    <row r="4" customFormat="false" ht="48" hidden="false" customHeight="true" outlineLevel="0" collapsed="false">
      <c r="A4" s="12" t="s">
        <v>676</v>
      </c>
      <c r="B4" s="12" t="s">
        <v>1406</v>
      </c>
      <c r="C4" s="12" t="s">
        <v>1407</v>
      </c>
      <c r="D4" s="12" t="s">
        <v>1408</v>
      </c>
      <c r="E4" s="12" t="s">
        <v>1409</v>
      </c>
      <c r="F4" s="18" t="s">
        <v>676</v>
      </c>
    </row>
    <row r="5" customFormat="false" ht="130.5" hidden="false" customHeight="true" outlineLevel="0" collapsed="false">
      <c r="A5" s="12" t="s">
        <v>676</v>
      </c>
      <c r="B5" s="12" t="s">
        <v>1403</v>
      </c>
      <c r="C5" s="12" t="s">
        <v>1410</v>
      </c>
      <c r="D5" s="12" t="s">
        <v>1408</v>
      </c>
      <c r="E5" s="12" t="s">
        <v>1411</v>
      </c>
      <c r="F5" s="18" t="s">
        <v>676</v>
      </c>
    </row>
    <row r="6" customFormat="false" ht="48" hidden="false" customHeight="true" outlineLevel="0" collapsed="false">
      <c r="A6" s="12" t="s">
        <v>676</v>
      </c>
      <c r="B6" s="12" t="s">
        <v>1412</v>
      </c>
      <c r="C6" s="12" t="s">
        <v>1413</v>
      </c>
      <c r="D6" s="12" t="s">
        <v>1408</v>
      </c>
      <c r="E6" s="12" t="s">
        <v>1414</v>
      </c>
      <c r="F6" s="18" t="s">
        <v>676</v>
      </c>
    </row>
    <row r="7" customFormat="false" ht="48" hidden="false" customHeight="true" outlineLevel="0" collapsed="false">
      <c r="A7" s="12" t="s">
        <v>806</v>
      </c>
      <c r="B7" s="12" t="s">
        <v>1406</v>
      </c>
      <c r="C7" s="12" t="s">
        <v>1415</v>
      </c>
      <c r="D7" s="12" t="s">
        <v>1408</v>
      </c>
      <c r="E7" s="12" t="s">
        <v>1409</v>
      </c>
      <c r="F7" s="18" t="s">
        <v>676</v>
      </c>
    </row>
    <row r="8" customFormat="false" ht="142.5" hidden="false" customHeight="true" outlineLevel="0" collapsed="false">
      <c r="A8" s="12" t="s">
        <v>806</v>
      </c>
      <c r="B8" s="12" t="s">
        <v>1403</v>
      </c>
      <c r="C8" s="12" t="s">
        <v>1416</v>
      </c>
      <c r="D8" s="12" t="s">
        <v>1408</v>
      </c>
      <c r="E8" s="12" t="s">
        <v>1411</v>
      </c>
      <c r="F8" s="18" t="s">
        <v>676</v>
      </c>
    </row>
    <row r="9" customFormat="false" ht="60" hidden="false" customHeight="true" outlineLevel="0" collapsed="false">
      <c r="A9" s="12" t="s">
        <v>816</v>
      </c>
      <c r="B9" s="12" t="s">
        <v>1406</v>
      </c>
      <c r="C9" s="12" t="s">
        <v>1417</v>
      </c>
      <c r="D9" s="12" t="s">
        <v>1408</v>
      </c>
      <c r="E9" s="12" t="s">
        <v>1409</v>
      </c>
      <c r="F9" s="18" t="s">
        <v>676</v>
      </c>
    </row>
    <row r="10" customFormat="false" ht="96" hidden="false" customHeight="true" outlineLevel="0" collapsed="false">
      <c r="A10" s="12" t="s">
        <v>816</v>
      </c>
      <c r="B10" s="12" t="s">
        <v>1403</v>
      </c>
      <c r="C10" s="12" t="s">
        <v>1418</v>
      </c>
      <c r="D10" s="12" t="s">
        <v>1408</v>
      </c>
      <c r="E10" s="12" t="s">
        <v>1411</v>
      </c>
      <c r="F10" s="18" t="s">
        <v>676</v>
      </c>
    </row>
    <row r="11" customFormat="false" ht="72" hidden="false" customHeight="true" outlineLevel="0" collapsed="false">
      <c r="A11" s="12" t="s">
        <v>684</v>
      </c>
      <c r="B11" s="12" t="s">
        <v>1406</v>
      </c>
      <c r="C11" s="12" t="s">
        <v>1419</v>
      </c>
      <c r="D11" s="12" t="s">
        <v>1408</v>
      </c>
      <c r="E11" s="12" t="s">
        <v>1409</v>
      </c>
      <c r="F11" s="18" t="s">
        <v>684</v>
      </c>
    </row>
    <row r="12" customFormat="false" ht="130.5" hidden="false" customHeight="true" outlineLevel="0" collapsed="false">
      <c r="A12" s="12" t="s">
        <v>684</v>
      </c>
      <c r="B12" s="12" t="s">
        <v>1403</v>
      </c>
      <c r="C12" s="12" t="s">
        <v>1420</v>
      </c>
      <c r="D12" s="12" t="s">
        <v>1408</v>
      </c>
      <c r="E12" s="12" t="s">
        <v>1421</v>
      </c>
      <c r="F12" s="18" t="s">
        <v>684</v>
      </c>
    </row>
    <row r="13" customFormat="false" ht="72" hidden="false" customHeight="true" outlineLevel="0" collapsed="false">
      <c r="A13" s="12" t="s">
        <v>688</v>
      </c>
      <c r="B13" s="12" t="s">
        <v>1406</v>
      </c>
      <c r="C13" s="12" t="s">
        <v>1422</v>
      </c>
      <c r="D13" s="12" t="s">
        <v>1408</v>
      </c>
      <c r="E13" s="12" t="s">
        <v>1423</v>
      </c>
      <c r="F13" s="18" t="s">
        <v>688</v>
      </c>
    </row>
    <row r="14" customFormat="false" ht="130.5" hidden="false" customHeight="true" outlineLevel="0" collapsed="false">
      <c r="A14" s="12" t="s">
        <v>688</v>
      </c>
      <c r="B14" s="12" t="s">
        <v>1403</v>
      </c>
      <c r="C14" s="12" t="s">
        <v>1424</v>
      </c>
      <c r="D14" s="12" t="s">
        <v>1408</v>
      </c>
      <c r="E14" s="12" t="s">
        <v>1421</v>
      </c>
      <c r="F14" s="18" t="s">
        <v>688</v>
      </c>
    </row>
    <row r="15" customFormat="false" ht="107.25" hidden="false" customHeight="true" outlineLevel="0" collapsed="false">
      <c r="A15" s="12" t="s">
        <v>690</v>
      </c>
      <c r="B15" s="12" t="s">
        <v>1406</v>
      </c>
      <c r="C15" s="12" t="s">
        <v>1425</v>
      </c>
      <c r="D15" s="12" t="s">
        <v>1408</v>
      </c>
      <c r="E15" s="12" t="s">
        <v>1423</v>
      </c>
      <c r="F15" s="18" t="s">
        <v>690</v>
      </c>
    </row>
    <row r="16" customFormat="false" ht="118.5" hidden="false" customHeight="true" outlineLevel="0" collapsed="false">
      <c r="A16" s="12" t="s">
        <v>690</v>
      </c>
      <c r="B16" s="12" t="s">
        <v>1403</v>
      </c>
      <c r="C16" s="12" t="s">
        <v>1426</v>
      </c>
      <c r="D16" s="12" t="s">
        <v>1408</v>
      </c>
      <c r="E16" s="12" t="s">
        <v>1421</v>
      </c>
      <c r="F16" s="18" t="s">
        <v>690</v>
      </c>
    </row>
    <row r="17" customFormat="false" ht="57.45" hidden="false" customHeight="false" outlineLevel="0" collapsed="false">
      <c r="A17" s="12" t="s">
        <v>692</v>
      </c>
      <c r="B17" s="12" t="s">
        <v>1406</v>
      </c>
      <c r="C17" s="12" t="s">
        <v>1427</v>
      </c>
      <c r="D17" s="12" t="s">
        <v>1408</v>
      </c>
      <c r="E17" s="12" t="s">
        <v>1423</v>
      </c>
      <c r="F17" s="18" t="s">
        <v>692</v>
      </c>
    </row>
    <row r="18" customFormat="false" ht="180.55" hidden="false" customHeight="false" outlineLevel="0" collapsed="false">
      <c r="A18" s="12" t="s">
        <v>692</v>
      </c>
      <c r="B18" s="12" t="s">
        <v>1403</v>
      </c>
      <c r="C18" s="12" t="s">
        <v>1428</v>
      </c>
      <c r="D18" s="12" t="s">
        <v>1408</v>
      </c>
      <c r="E18" s="12" t="s">
        <v>1421</v>
      </c>
      <c r="F18" s="18" t="s">
        <v>692</v>
      </c>
    </row>
    <row r="19" customFormat="false" ht="46.25" hidden="false" customHeight="false" outlineLevel="0" collapsed="false">
      <c r="A19" s="12" t="s">
        <v>697</v>
      </c>
      <c r="B19" s="12" t="s">
        <v>1406</v>
      </c>
      <c r="C19" s="12" t="s">
        <v>1429</v>
      </c>
      <c r="D19" s="12" t="s">
        <v>1408</v>
      </c>
      <c r="E19" s="12" t="s">
        <v>1423</v>
      </c>
      <c r="F19" s="18" t="s">
        <v>697</v>
      </c>
    </row>
    <row r="20" customFormat="false" ht="180.55" hidden="false" customHeight="false" outlineLevel="0" collapsed="false">
      <c r="A20" s="12" t="s">
        <v>697</v>
      </c>
      <c r="B20" s="12" t="s">
        <v>1403</v>
      </c>
      <c r="C20" s="12" t="s">
        <v>1430</v>
      </c>
      <c r="D20" s="12" t="s">
        <v>1408</v>
      </c>
      <c r="E20" s="12" t="s">
        <v>1431</v>
      </c>
      <c r="F20" s="18" t="s">
        <v>697</v>
      </c>
    </row>
    <row r="21" customFormat="false" ht="46.25" hidden="false" customHeight="false" outlineLevel="0" collapsed="false">
      <c r="A21" s="12" t="s">
        <v>699</v>
      </c>
      <c r="B21" s="12" t="s">
        <v>1406</v>
      </c>
      <c r="C21" s="12" t="s">
        <v>1432</v>
      </c>
      <c r="D21" s="12" t="s">
        <v>1408</v>
      </c>
      <c r="E21" s="12" t="s">
        <v>1433</v>
      </c>
      <c r="F21" s="18" t="s">
        <v>699</v>
      </c>
    </row>
    <row r="22" customFormat="false" ht="180.55" hidden="false" customHeight="false" outlineLevel="0" collapsed="false">
      <c r="A22" s="12" t="s">
        <v>699</v>
      </c>
      <c r="B22" s="12" t="s">
        <v>1403</v>
      </c>
      <c r="C22" s="12" t="s">
        <v>1434</v>
      </c>
      <c r="D22" s="12" t="s">
        <v>1408</v>
      </c>
      <c r="E22" s="12" t="s">
        <v>1431</v>
      </c>
      <c r="F22" s="18" t="s">
        <v>699</v>
      </c>
    </row>
    <row r="23" customFormat="false" ht="46.25" hidden="false" customHeight="false" outlineLevel="0" collapsed="false">
      <c r="A23" s="12" t="s">
        <v>705</v>
      </c>
      <c r="B23" s="12" t="s">
        <v>1406</v>
      </c>
      <c r="C23" s="12" t="s">
        <v>1435</v>
      </c>
      <c r="D23" s="12" t="s">
        <v>1408</v>
      </c>
      <c r="E23" s="12" t="s">
        <v>1433</v>
      </c>
      <c r="F23" s="18" t="s">
        <v>705</v>
      </c>
    </row>
    <row r="24" customFormat="false" ht="191.75" hidden="false" customHeight="false" outlineLevel="0" collapsed="false">
      <c r="A24" s="12" t="s">
        <v>705</v>
      </c>
      <c r="B24" s="12" t="s">
        <v>1403</v>
      </c>
      <c r="C24" s="12" t="s">
        <v>1436</v>
      </c>
      <c r="D24" s="12" t="s">
        <v>1408</v>
      </c>
      <c r="E24" s="12" t="s">
        <v>1431</v>
      </c>
      <c r="F24" s="18" t="s">
        <v>705</v>
      </c>
    </row>
    <row r="25" customFormat="false" ht="35.05" hidden="false" customHeight="false" outlineLevel="0" collapsed="false">
      <c r="A25" s="12" t="s">
        <v>710</v>
      </c>
      <c r="B25" s="12" t="s">
        <v>1406</v>
      </c>
      <c r="C25" s="12" t="s">
        <v>1437</v>
      </c>
      <c r="D25" s="12" t="s">
        <v>1408</v>
      </c>
      <c r="E25" s="12" t="s">
        <v>1438</v>
      </c>
      <c r="F25" s="18" t="s">
        <v>710</v>
      </c>
    </row>
    <row r="26" customFormat="false" ht="180.55" hidden="false" customHeight="false" outlineLevel="0" collapsed="false">
      <c r="A26" s="12" t="s">
        <v>710</v>
      </c>
      <c r="B26" s="12" t="s">
        <v>1403</v>
      </c>
      <c r="C26" s="12" t="s">
        <v>1439</v>
      </c>
      <c r="D26" s="12" t="s">
        <v>1408</v>
      </c>
      <c r="E26" s="12" t="s">
        <v>1411</v>
      </c>
      <c r="F26" s="18" t="s">
        <v>710</v>
      </c>
    </row>
    <row r="27" customFormat="false" ht="46.25" hidden="false" customHeight="false" outlineLevel="0" collapsed="false">
      <c r="A27" s="12" t="s">
        <v>712</v>
      </c>
      <c r="B27" s="12" t="s">
        <v>1406</v>
      </c>
      <c r="C27" s="12" t="s">
        <v>1440</v>
      </c>
      <c r="D27" s="12" t="s">
        <v>1408</v>
      </c>
      <c r="E27" s="12" t="s">
        <v>1438</v>
      </c>
      <c r="F27" s="18" t="s">
        <v>712</v>
      </c>
    </row>
    <row r="28" customFormat="false" ht="180.55" hidden="false" customHeight="false" outlineLevel="0" collapsed="false">
      <c r="A28" s="12" t="s">
        <v>712</v>
      </c>
      <c r="B28" s="12" t="s">
        <v>1403</v>
      </c>
      <c r="C28" s="12" t="s">
        <v>1441</v>
      </c>
      <c r="D28" s="12" t="s">
        <v>1408</v>
      </c>
      <c r="E28" s="12" t="s">
        <v>1431</v>
      </c>
      <c r="F28" s="18" t="s">
        <v>712</v>
      </c>
    </row>
    <row r="29" customFormat="false" ht="46.25" hidden="false" customHeight="false" outlineLevel="0" collapsed="false">
      <c r="A29" s="12" t="s">
        <v>714</v>
      </c>
      <c r="B29" s="12" t="s">
        <v>1406</v>
      </c>
      <c r="C29" s="12" t="s">
        <v>1442</v>
      </c>
      <c r="D29" s="12" t="s">
        <v>1408</v>
      </c>
      <c r="E29" s="12" t="s">
        <v>1438</v>
      </c>
      <c r="F29" s="18" t="s">
        <v>714</v>
      </c>
    </row>
    <row r="30" customFormat="false" ht="180.55" hidden="false" customHeight="false" outlineLevel="0" collapsed="false">
      <c r="A30" s="12" t="s">
        <v>714</v>
      </c>
      <c r="B30" s="12" t="s">
        <v>1403</v>
      </c>
      <c r="C30" s="12" t="s">
        <v>1443</v>
      </c>
      <c r="D30" s="12" t="s">
        <v>1408</v>
      </c>
      <c r="E30" s="12" t="s">
        <v>1431</v>
      </c>
      <c r="F30" s="18" t="s">
        <v>714</v>
      </c>
    </row>
    <row r="31" customFormat="false" ht="46.25" hidden="false" customHeight="false" outlineLevel="0" collapsed="false">
      <c r="A31" s="12" t="s">
        <v>716</v>
      </c>
      <c r="B31" s="12" t="s">
        <v>1406</v>
      </c>
      <c r="C31" s="12" t="s">
        <v>1444</v>
      </c>
      <c r="D31" s="12" t="s">
        <v>1408</v>
      </c>
      <c r="E31" s="12" t="s">
        <v>1445</v>
      </c>
      <c r="F31" s="18" t="s">
        <v>716</v>
      </c>
    </row>
    <row r="32" customFormat="false" ht="180.55" hidden="false" customHeight="false" outlineLevel="0" collapsed="false">
      <c r="A32" s="12" t="s">
        <v>716</v>
      </c>
      <c r="B32" s="12" t="s">
        <v>1403</v>
      </c>
      <c r="C32" s="12" t="s">
        <v>1446</v>
      </c>
      <c r="D32" s="12" t="s">
        <v>1408</v>
      </c>
      <c r="E32" s="12" t="s">
        <v>1431</v>
      </c>
      <c r="F32" s="18" t="s">
        <v>716</v>
      </c>
    </row>
    <row r="33" customFormat="false" ht="35.05" hidden="false" customHeight="false" outlineLevel="0" collapsed="false">
      <c r="A33" s="12" t="s">
        <v>719</v>
      </c>
      <c r="B33" s="12" t="s">
        <v>1406</v>
      </c>
      <c r="C33" s="12" t="s">
        <v>1447</v>
      </c>
      <c r="D33" s="12" t="s">
        <v>1408</v>
      </c>
      <c r="E33" s="12" t="s">
        <v>1445</v>
      </c>
      <c r="F33" s="18" t="s">
        <v>719</v>
      </c>
    </row>
    <row r="34" customFormat="false" ht="180.55" hidden="false" customHeight="false" outlineLevel="0" collapsed="false">
      <c r="A34" s="12" t="s">
        <v>719</v>
      </c>
      <c r="B34" s="12" t="s">
        <v>1403</v>
      </c>
      <c r="C34" s="12" t="s">
        <v>1448</v>
      </c>
      <c r="D34" s="12" t="s">
        <v>1408</v>
      </c>
      <c r="E34" s="12" t="s">
        <v>1449</v>
      </c>
      <c r="F34" s="18" t="s">
        <v>719</v>
      </c>
    </row>
    <row r="35" customFormat="false" ht="46.25" hidden="false" customHeight="false" outlineLevel="0" collapsed="false">
      <c r="A35" s="12" t="s">
        <v>721</v>
      </c>
      <c r="B35" s="12" t="s">
        <v>1406</v>
      </c>
      <c r="C35" s="12" t="s">
        <v>1450</v>
      </c>
      <c r="D35" s="12" t="s">
        <v>1408</v>
      </c>
      <c r="E35" s="12" t="s">
        <v>1445</v>
      </c>
      <c r="F35" s="18" t="s">
        <v>721</v>
      </c>
    </row>
    <row r="36" customFormat="false" ht="180.55" hidden="false" customHeight="false" outlineLevel="0" collapsed="false">
      <c r="A36" s="12" t="s">
        <v>721</v>
      </c>
      <c r="B36" s="12" t="s">
        <v>1403</v>
      </c>
      <c r="C36" s="12" t="s">
        <v>1451</v>
      </c>
      <c r="D36" s="12" t="s">
        <v>1408</v>
      </c>
      <c r="E36" s="12" t="s">
        <v>1449</v>
      </c>
      <c r="F36" s="18" t="s">
        <v>721</v>
      </c>
    </row>
    <row r="37" customFormat="false" ht="35.05" hidden="false" customHeight="false" outlineLevel="0" collapsed="false">
      <c r="A37" s="12" t="s">
        <v>723</v>
      </c>
      <c r="B37" s="12" t="s">
        <v>1406</v>
      </c>
      <c r="C37" s="12" t="s">
        <v>1452</v>
      </c>
      <c r="D37" s="12" t="s">
        <v>1408</v>
      </c>
      <c r="E37" s="12" t="s">
        <v>1445</v>
      </c>
      <c r="F37" s="18" t="s">
        <v>723</v>
      </c>
    </row>
    <row r="38" customFormat="false" ht="124.6" hidden="false" customHeight="false" outlineLevel="0" collapsed="false">
      <c r="A38" s="12" t="s">
        <v>723</v>
      </c>
      <c r="B38" s="12" t="s">
        <v>1403</v>
      </c>
      <c r="C38" s="12" t="s">
        <v>1453</v>
      </c>
      <c r="D38" s="12" t="s">
        <v>1408</v>
      </c>
      <c r="E38" s="12" t="s">
        <v>1449</v>
      </c>
      <c r="F38" s="18" t="s">
        <v>723</v>
      </c>
    </row>
    <row r="39" customFormat="false" ht="68.65" hidden="false" customHeight="false" outlineLevel="0" collapsed="false">
      <c r="A39" s="12" t="s">
        <v>725</v>
      </c>
      <c r="B39" s="12" t="s">
        <v>1406</v>
      </c>
      <c r="C39" s="12" t="s">
        <v>1454</v>
      </c>
      <c r="D39" s="12" t="s">
        <v>1408</v>
      </c>
      <c r="E39" s="12" t="s">
        <v>1455</v>
      </c>
      <c r="F39" s="18" t="s">
        <v>725</v>
      </c>
    </row>
    <row r="40" customFormat="false" ht="191.75" hidden="false" customHeight="false" outlineLevel="0" collapsed="false">
      <c r="A40" s="12" t="s">
        <v>725</v>
      </c>
      <c r="B40" s="12" t="s">
        <v>1403</v>
      </c>
      <c r="C40" s="12" t="s">
        <v>1456</v>
      </c>
      <c r="D40" s="12" t="s">
        <v>1408</v>
      </c>
      <c r="E40" s="12" t="s">
        <v>1457</v>
      </c>
      <c r="F40" s="18" t="s">
        <v>725</v>
      </c>
    </row>
    <row r="41" customFormat="false" ht="57.45" hidden="false" customHeight="false" outlineLevel="0" collapsed="false">
      <c r="A41" s="12" t="s">
        <v>942</v>
      </c>
      <c r="B41" s="12" t="s">
        <v>1406</v>
      </c>
      <c r="C41" s="12" t="s">
        <v>1458</v>
      </c>
      <c r="D41" s="12" t="s">
        <v>1408</v>
      </c>
      <c r="E41" s="12" t="s">
        <v>1455</v>
      </c>
      <c r="F41" s="18" t="s">
        <v>725</v>
      </c>
    </row>
    <row r="42" customFormat="false" ht="191.75" hidden="false" customHeight="false" outlineLevel="0" collapsed="false">
      <c r="A42" s="12" t="s">
        <v>942</v>
      </c>
      <c r="B42" s="12" t="s">
        <v>1403</v>
      </c>
      <c r="C42" s="12" t="s">
        <v>1459</v>
      </c>
      <c r="D42" s="12" t="s">
        <v>1408</v>
      </c>
      <c r="E42" s="12" t="s">
        <v>1457</v>
      </c>
      <c r="F42" s="18" t="s">
        <v>725</v>
      </c>
    </row>
    <row r="43" customFormat="false" ht="57.45" hidden="false" customHeight="false" outlineLevel="0" collapsed="false">
      <c r="A43" s="12" t="s">
        <v>950</v>
      </c>
      <c r="B43" s="12" t="s">
        <v>1406</v>
      </c>
      <c r="C43" s="12" t="s">
        <v>1460</v>
      </c>
      <c r="D43" s="12" t="s">
        <v>1408</v>
      </c>
      <c r="E43" s="12" t="s">
        <v>1455</v>
      </c>
      <c r="F43" s="18" t="s">
        <v>725</v>
      </c>
    </row>
    <row r="44" customFormat="false" ht="191.75" hidden="false" customHeight="false" outlineLevel="0" collapsed="false">
      <c r="A44" s="12" t="s">
        <v>950</v>
      </c>
      <c r="B44" s="12" t="s">
        <v>1403</v>
      </c>
      <c r="C44" s="12" t="s">
        <v>1461</v>
      </c>
      <c r="D44" s="12" t="s">
        <v>1408</v>
      </c>
      <c r="E44" s="12" t="s">
        <v>1457</v>
      </c>
      <c r="F44" s="18" t="s">
        <v>725</v>
      </c>
    </row>
    <row r="45" customFormat="false" ht="57.45" hidden="false" customHeight="false" outlineLevel="0" collapsed="false">
      <c r="A45" s="12" t="s">
        <v>958</v>
      </c>
      <c r="B45" s="12" t="s">
        <v>1406</v>
      </c>
      <c r="C45" s="12" t="s">
        <v>1462</v>
      </c>
      <c r="D45" s="12" t="s">
        <v>1408</v>
      </c>
      <c r="E45" s="12" t="s">
        <v>1455</v>
      </c>
      <c r="F45" s="18" t="s">
        <v>725</v>
      </c>
    </row>
    <row r="46" customFormat="false" ht="191.75" hidden="false" customHeight="false" outlineLevel="0" collapsed="false">
      <c r="A46" s="12" t="s">
        <v>958</v>
      </c>
      <c r="B46" s="12" t="s">
        <v>1403</v>
      </c>
      <c r="C46" s="12" t="s">
        <v>1463</v>
      </c>
      <c r="D46" s="12" t="s">
        <v>1408</v>
      </c>
      <c r="E46" s="12" t="s">
        <v>1457</v>
      </c>
      <c r="F46" s="18" t="s">
        <v>725</v>
      </c>
    </row>
    <row r="47" customFormat="false" ht="46.25" hidden="false" customHeight="false" outlineLevel="0" collapsed="false">
      <c r="A47" s="12" t="s">
        <v>732</v>
      </c>
      <c r="B47" s="12" t="s">
        <v>1464</v>
      </c>
      <c r="C47" s="12" t="s">
        <v>1465</v>
      </c>
      <c r="D47" s="12" t="s">
        <v>1408</v>
      </c>
      <c r="E47" s="12" t="s">
        <v>1466</v>
      </c>
      <c r="F47" s="18" t="s">
        <v>732</v>
      </c>
    </row>
    <row r="48" customFormat="false" ht="46.25" hidden="false" customHeight="false" outlineLevel="0" collapsed="false">
      <c r="A48" s="12" t="s">
        <v>732</v>
      </c>
      <c r="B48" s="12" t="s">
        <v>1464</v>
      </c>
      <c r="C48" s="12" t="s">
        <v>1467</v>
      </c>
      <c r="D48" s="12" t="s">
        <v>1408</v>
      </c>
      <c r="E48" s="12" t="s">
        <v>1468</v>
      </c>
      <c r="F48" s="18" t="s">
        <v>732</v>
      </c>
    </row>
    <row r="49" customFormat="false" ht="68.65" hidden="false" customHeight="false" outlineLevel="0" collapsed="false">
      <c r="A49" s="12" t="s">
        <v>732</v>
      </c>
      <c r="B49" s="12" t="s">
        <v>1406</v>
      </c>
      <c r="C49" s="12" t="s">
        <v>1469</v>
      </c>
      <c r="D49" s="12" t="s">
        <v>1408</v>
      </c>
      <c r="E49" s="12" t="s">
        <v>1470</v>
      </c>
      <c r="F49" s="18" t="s">
        <v>732</v>
      </c>
    </row>
    <row r="50" customFormat="false" ht="191.75" hidden="false" customHeight="false" outlineLevel="0" collapsed="false">
      <c r="A50" s="12" t="s">
        <v>732</v>
      </c>
      <c r="B50" s="12" t="s">
        <v>1403</v>
      </c>
      <c r="C50" s="12" t="s">
        <v>1471</v>
      </c>
      <c r="D50" s="12" t="s">
        <v>1408</v>
      </c>
      <c r="E50" s="12" t="s">
        <v>1472</v>
      </c>
      <c r="F50" s="18" t="s">
        <v>732</v>
      </c>
    </row>
    <row r="51" customFormat="false" ht="57.45" hidden="false" customHeight="false" outlineLevel="0" collapsed="false">
      <c r="A51" s="12" t="s">
        <v>974</v>
      </c>
      <c r="B51" s="12" t="s">
        <v>1406</v>
      </c>
      <c r="C51" s="12" t="s">
        <v>1473</v>
      </c>
      <c r="D51" s="12" t="s">
        <v>1408</v>
      </c>
      <c r="E51" s="12" t="s">
        <v>1474</v>
      </c>
      <c r="F51" s="18" t="s">
        <v>732</v>
      </c>
    </row>
    <row r="52" customFormat="false" ht="191.75" hidden="false" customHeight="false" outlineLevel="0" collapsed="false">
      <c r="A52" s="12" t="s">
        <v>974</v>
      </c>
      <c r="B52" s="12" t="s">
        <v>1403</v>
      </c>
      <c r="C52" s="12" t="s">
        <v>1475</v>
      </c>
      <c r="D52" s="12" t="s">
        <v>1408</v>
      </c>
      <c r="E52" s="12" t="s">
        <v>1457</v>
      </c>
      <c r="F52" s="18" t="s">
        <v>732</v>
      </c>
    </row>
    <row r="53" customFormat="false" ht="57.45" hidden="false" customHeight="false" outlineLevel="0" collapsed="false">
      <c r="A53" s="12" t="s">
        <v>982</v>
      </c>
      <c r="B53" s="12" t="s">
        <v>1406</v>
      </c>
      <c r="C53" s="12" t="s">
        <v>1476</v>
      </c>
      <c r="D53" s="12" t="s">
        <v>1408</v>
      </c>
      <c r="E53" s="12" t="s">
        <v>1474</v>
      </c>
      <c r="F53" s="18" t="s">
        <v>732</v>
      </c>
    </row>
    <row r="54" customFormat="false" ht="191.75" hidden="false" customHeight="false" outlineLevel="0" collapsed="false">
      <c r="A54" s="12" t="s">
        <v>982</v>
      </c>
      <c r="B54" s="12" t="s">
        <v>1403</v>
      </c>
      <c r="C54" s="12" t="s">
        <v>1477</v>
      </c>
      <c r="D54" s="12" t="s">
        <v>1408</v>
      </c>
      <c r="E54" s="12" t="s">
        <v>1478</v>
      </c>
      <c r="F54" s="18" t="s">
        <v>732</v>
      </c>
    </row>
    <row r="55" customFormat="false" ht="57.45" hidden="false" customHeight="false" outlineLevel="0" collapsed="false">
      <c r="A55" s="12" t="s">
        <v>989</v>
      </c>
      <c r="B55" s="12" t="s">
        <v>1406</v>
      </c>
      <c r="C55" s="12" t="s">
        <v>1479</v>
      </c>
      <c r="D55" s="12" t="s">
        <v>1408</v>
      </c>
      <c r="E55" s="12" t="s">
        <v>1474</v>
      </c>
      <c r="F55" s="18" t="s">
        <v>732</v>
      </c>
    </row>
    <row r="56" customFormat="false" ht="191.75" hidden="false" customHeight="false" outlineLevel="0" collapsed="false">
      <c r="A56" s="12" t="s">
        <v>989</v>
      </c>
      <c r="B56" s="12" t="s">
        <v>1403</v>
      </c>
      <c r="C56" s="12" t="s">
        <v>1480</v>
      </c>
      <c r="D56" s="12" t="s">
        <v>1408</v>
      </c>
      <c r="E56" s="12" t="s">
        <v>1478</v>
      </c>
      <c r="F56" s="18" t="s">
        <v>732</v>
      </c>
    </row>
    <row r="57" customFormat="false" ht="79.85" hidden="false" customHeight="false" outlineLevel="0" collapsed="false">
      <c r="A57" s="12" t="s">
        <v>735</v>
      </c>
      <c r="B57" s="12" t="s">
        <v>1406</v>
      </c>
      <c r="C57" s="12" t="s">
        <v>1481</v>
      </c>
      <c r="D57" s="12" t="s">
        <v>1408</v>
      </c>
      <c r="E57" s="12" t="s">
        <v>1482</v>
      </c>
      <c r="F57" s="18" t="s">
        <v>735</v>
      </c>
    </row>
    <row r="58" customFormat="false" ht="191.75" hidden="false" customHeight="false" outlineLevel="0" collapsed="false">
      <c r="A58" s="12" t="s">
        <v>735</v>
      </c>
      <c r="B58" s="12" t="s">
        <v>1403</v>
      </c>
      <c r="C58" s="12" t="s">
        <v>1483</v>
      </c>
      <c r="D58" s="12" t="s">
        <v>1408</v>
      </c>
      <c r="E58" s="12" t="s">
        <v>1478</v>
      </c>
      <c r="F58" s="18" t="s">
        <v>735</v>
      </c>
    </row>
    <row r="59" customFormat="false" ht="57.45" hidden="false" customHeight="false" outlineLevel="0" collapsed="false">
      <c r="A59" s="12" t="s">
        <v>1004</v>
      </c>
      <c r="B59" s="12" t="s">
        <v>1406</v>
      </c>
      <c r="C59" s="12" t="s">
        <v>1484</v>
      </c>
      <c r="D59" s="12" t="s">
        <v>1408</v>
      </c>
      <c r="E59" s="12" t="s">
        <v>1482</v>
      </c>
      <c r="F59" s="18" t="s">
        <v>735</v>
      </c>
    </row>
    <row r="60" customFormat="false" ht="191.75" hidden="false" customHeight="false" outlineLevel="0" collapsed="false">
      <c r="A60" s="12" t="s">
        <v>1004</v>
      </c>
      <c r="B60" s="12" t="s">
        <v>1403</v>
      </c>
      <c r="C60" s="12" t="s">
        <v>1485</v>
      </c>
      <c r="D60" s="12" t="s">
        <v>1408</v>
      </c>
      <c r="E60" s="12" t="s">
        <v>1478</v>
      </c>
      <c r="F60" s="18" t="s">
        <v>735</v>
      </c>
    </row>
    <row r="61" customFormat="false" ht="57.45" hidden="false" customHeight="false" outlineLevel="0" collapsed="false">
      <c r="A61" s="12" t="s">
        <v>1012</v>
      </c>
      <c r="B61" s="12" t="s">
        <v>1406</v>
      </c>
      <c r="C61" s="12" t="s">
        <v>1486</v>
      </c>
      <c r="D61" s="12" t="s">
        <v>1408</v>
      </c>
      <c r="E61" s="12" t="s">
        <v>1482</v>
      </c>
      <c r="F61" s="18" t="s">
        <v>735</v>
      </c>
    </row>
    <row r="62" customFormat="false" ht="191.75" hidden="false" customHeight="false" outlineLevel="0" collapsed="false">
      <c r="A62" s="12" t="s">
        <v>1012</v>
      </c>
      <c r="B62" s="12" t="s">
        <v>1403</v>
      </c>
      <c r="C62" s="12" t="s">
        <v>1487</v>
      </c>
      <c r="D62" s="12" t="s">
        <v>1408</v>
      </c>
      <c r="E62" s="12" t="s">
        <v>1478</v>
      </c>
      <c r="F62" s="18" t="s">
        <v>735</v>
      </c>
    </row>
    <row r="63" customFormat="false" ht="57.45" hidden="false" customHeight="false" outlineLevel="0" collapsed="false">
      <c r="A63" s="12" t="s">
        <v>1019</v>
      </c>
      <c r="B63" s="12" t="s">
        <v>1406</v>
      </c>
      <c r="C63" s="12" t="s">
        <v>1488</v>
      </c>
      <c r="D63" s="12" t="s">
        <v>1408</v>
      </c>
      <c r="E63" s="12" t="s">
        <v>1482</v>
      </c>
      <c r="F63" s="18" t="s">
        <v>735</v>
      </c>
    </row>
    <row r="64" customFormat="false" ht="202.95" hidden="false" customHeight="false" outlineLevel="0" collapsed="false">
      <c r="A64" s="12" t="s">
        <v>1019</v>
      </c>
      <c r="B64" s="12" t="s">
        <v>1403</v>
      </c>
      <c r="C64" s="12" t="s">
        <v>1489</v>
      </c>
      <c r="D64" s="12" t="s">
        <v>1408</v>
      </c>
      <c r="E64" s="12" t="s">
        <v>1478</v>
      </c>
      <c r="F64" s="18" t="s">
        <v>735</v>
      </c>
    </row>
    <row r="65" customFormat="false" ht="68.65" hidden="false" customHeight="false" outlineLevel="0" collapsed="false">
      <c r="A65" s="12" t="s">
        <v>748</v>
      </c>
      <c r="B65" s="12" t="s">
        <v>1406</v>
      </c>
      <c r="C65" s="12" t="s">
        <v>1490</v>
      </c>
      <c r="D65" s="12" t="s">
        <v>1408</v>
      </c>
      <c r="E65" s="12" t="s">
        <v>1491</v>
      </c>
      <c r="F65" s="18" t="s">
        <v>748</v>
      </c>
    </row>
    <row r="66" customFormat="false" ht="191.75" hidden="false" customHeight="false" outlineLevel="0" collapsed="false">
      <c r="A66" s="12" t="s">
        <v>748</v>
      </c>
      <c r="B66" s="12" t="s">
        <v>1403</v>
      </c>
      <c r="C66" s="12" t="s">
        <v>1492</v>
      </c>
      <c r="D66" s="12" t="s">
        <v>1408</v>
      </c>
      <c r="E66" s="12" t="s">
        <v>1493</v>
      </c>
      <c r="F66" s="18" t="s">
        <v>748</v>
      </c>
    </row>
    <row r="67" customFormat="false" ht="68.65" hidden="false" customHeight="false" outlineLevel="0" collapsed="false">
      <c r="A67" s="12" t="s">
        <v>753</v>
      </c>
      <c r="B67" s="12" t="s">
        <v>1406</v>
      </c>
      <c r="C67" s="12" t="s">
        <v>1494</v>
      </c>
      <c r="D67" s="12" t="s">
        <v>1401</v>
      </c>
      <c r="E67" s="12" t="s">
        <v>1495</v>
      </c>
      <c r="F67" s="18" t="s">
        <v>753</v>
      </c>
    </row>
    <row r="68" customFormat="false" ht="124.6" hidden="false" customHeight="false" outlineLevel="0" collapsed="false">
      <c r="A68" s="12" t="s">
        <v>753</v>
      </c>
      <c r="B68" s="12" t="s">
        <v>1403</v>
      </c>
      <c r="C68" s="12" t="s">
        <v>1496</v>
      </c>
      <c r="D68" s="12" t="s">
        <v>1401</v>
      </c>
      <c r="E68" s="12" t="s">
        <v>1495</v>
      </c>
      <c r="F68" s="18" t="s">
        <v>753</v>
      </c>
    </row>
    <row r="69" customFormat="false" ht="91" hidden="false" customHeight="false" outlineLevel="0" collapsed="false">
      <c r="A69" s="12" t="s">
        <v>1053</v>
      </c>
      <c r="B69" s="12" t="s">
        <v>1406</v>
      </c>
      <c r="C69" s="12" t="s">
        <v>1497</v>
      </c>
      <c r="D69" s="12" t="s">
        <v>1401</v>
      </c>
      <c r="E69" s="12" t="s">
        <v>1495</v>
      </c>
      <c r="F69" s="18" t="s">
        <v>748</v>
      </c>
    </row>
    <row r="70" customFormat="false" ht="113.4" hidden="false" customHeight="false" outlineLevel="0" collapsed="false">
      <c r="A70" s="12" t="s">
        <v>1053</v>
      </c>
      <c r="B70" s="12" t="s">
        <v>1498</v>
      </c>
      <c r="C70" s="12" t="s">
        <v>1499</v>
      </c>
      <c r="D70" s="12" t="s">
        <v>1401</v>
      </c>
      <c r="E70" s="12" t="s">
        <v>1500</v>
      </c>
      <c r="F70" s="18" t="s">
        <v>748</v>
      </c>
    </row>
  </sheetData>
  <autoFilter ref="A1:E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3" activeCellId="0" sqref="C23"/>
    </sheetView>
  </sheetViews>
  <sheetFormatPr defaultColWidth="8.71484375" defaultRowHeight="15" zeroHeight="false" outlineLevelRow="0" outlineLevelCol="0"/>
  <cols>
    <col collapsed="false" customWidth="true" hidden="false" outlineLevel="0" max="1" min="1" style="1" width="9"/>
    <col collapsed="false" customWidth="true" hidden="false" outlineLevel="0" max="2" min="2" style="1" width="80"/>
    <col collapsed="false" customWidth="true" hidden="false" outlineLevel="0" max="3" min="3" style="1" width="13"/>
    <col collapsed="false" customWidth="false" hidden="false" outlineLevel="0" max="16384" min="4" style="1" width="8.71"/>
  </cols>
  <sheetData>
    <row r="1" customFormat="false" ht="42" hidden="false" customHeight="true" outlineLevel="0" collapsed="false">
      <c r="A1" s="8" t="s">
        <v>344</v>
      </c>
      <c r="B1" s="8" t="s">
        <v>1501</v>
      </c>
      <c r="C1" s="11" t="s">
        <v>1502</v>
      </c>
    </row>
    <row r="2" customFormat="false" ht="15" hidden="false" customHeight="true" outlineLevel="0" collapsed="false">
      <c r="A2" s="12" t="s">
        <v>1503</v>
      </c>
      <c r="B2" s="12" t="s">
        <v>1504</v>
      </c>
      <c r="C2" s="31" t="n">
        <f aca="false">COUNTIF(Historias!K:K,"*"&amp;A2&amp;"*")</f>
        <v>16</v>
      </c>
    </row>
    <row r="3" customFormat="false" ht="24" hidden="false" customHeight="true" outlineLevel="0" collapsed="false">
      <c r="A3" s="12" t="s">
        <v>1505</v>
      </c>
      <c r="B3" s="12" t="s">
        <v>1506</v>
      </c>
      <c r="C3" s="31" t="n">
        <f aca="false">COUNTIF(Historias!K:K,"*"&amp;A3&amp;"*")</f>
        <v>4</v>
      </c>
    </row>
    <row r="4" customFormat="false" ht="24" hidden="false" customHeight="true" outlineLevel="0" collapsed="false">
      <c r="A4" s="12" t="s">
        <v>1507</v>
      </c>
      <c r="B4" s="12" t="s">
        <v>1508</v>
      </c>
      <c r="C4" s="31" t="n">
        <f aca="false">COUNTIF(Historias!K:K,"*"&amp;A4&amp;"*")</f>
        <v>8</v>
      </c>
    </row>
    <row r="5" customFormat="false" ht="15" hidden="false" customHeight="true" outlineLevel="0" collapsed="false">
      <c r="A5" s="12" t="s">
        <v>1509</v>
      </c>
      <c r="B5" s="12" t="s">
        <v>1510</v>
      </c>
      <c r="C5" s="31" t="n">
        <f aca="false">COUNTIF(Historias!K:K,"*"&amp;A5&amp;"*")</f>
        <v>4</v>
      </c>
    </row>
    <row r="6" customFormat="false" ht="15" hidden="false" customHeight="true" outlineLevel="0" collapsed="false">
      <c r="A6" s="12" t="s">
        <v>1511</v>
      </c>
      <c r="B6" s="12" t="s">
        <v>1512</v>
      </c>
      <c r="C6" s="31" t="n">
        <f aca="false">COUNTIF(Historias!K:K,"*"&amp;A6&amp;"*")</f>
        <v>12</v>
      </c>
    </row>
    <row r="7" customFormat="false" ht="35.05" hidden="false" customHeight="false" outlineLevel="0" collapsed="false">
      <c r="A7" s="12" t="s">
        <v>1513</v>
      </c>
      <c r="B7" s="12" t="s">
        <v>1514</v>
      </c>
      <c r="C7" s="31" t="n">
        <f aca="false">COUNTIF(Historias!K:K,"*"&amp;A7&amp;"*")</f>
        <v>0</v>
      </c>
    </row>
    <row r="8" customFormat="false" ht="23.85" hidden="false" customHeight="false" outlineLevel="0" collapsed="false">
      <c r="A8" s="12" t="s">
        <v>1515</v>
      </c>
      <c r="B8" s="12" t="s">
        <v>1516</v>
      </c>
      <c r="C8" s="31" t="n">
        <f aca="false">COUNTIF(Historias!K:K,"*"&amp;A8&amp;"*")</f>
        <v>0</v>
      </c>
    </row>
    <row r="9" customFormat="false" ht="124.6" hidden="false" customHeight="false" outlineLevel="0" collapsed="false">
      <c r="A9" s="12" t="s">
        <v>1517</v>
      </c>
      <c r="B9" s="12" t="s">
        <v>1518</v>
      </c>
      <c r="C9" s="31" t="n">
        <f aca="false">COUNTIF(Historias!K:K,"*"&amp;A9&amp;"*")</f>
        <v>0</v>
      </c>
    </row>
    <row r="10" customFormat="false" ht="68.65" hidden="false" customHeight="false" outlineLevel="0" collapsed="false">
      <c r="A10" s="12" t="s">
        <v>1519</v>
      </c>
      <c r="B10" s="12" t="s">
        <v>1520</v>
      </c>
      <c r="C10" s="31" t="n">
        <f aca="false">COUNTIF(Historias!K:K,"*"&amp;A10&amp;"*")</f>
        <v>0</v>
      </c>
    </row>
    <row r="11" customFormat="false" ht="79.85" hidden="false" customHeight="false" outlineLevel="0" collapsed="false">
      <c r="A11" s="12" t="s">
        <v>1521</v>
      </c>
      <c r="B11" s="12" t="s">
        <v>1522</v>
      </c>
      <c r="C11" s="31" t="n">
        <f aca="false">COUNTIF(Historias!K:K,"*"&amp;A11&amp;"*")</f>
        <v>0</v>
      </c>
    </row>
    <row r="12" customFormat="false" ht="35.05" hidden="false" customHeight="false" outlineLevel="0" collapsed="false">
      <c r="A12" s="12" t="s">
        <v>1523</v>
      </c>
      <c r="B12" s="12" t="s">
        <v>1524</v>
      </c>
      <c r="C12" s="31" t="n">
        <f aca="false">COUNTIF(Historias!K:K,"*"&amp;A12&amp;"*")</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E26" activeCellId="0" sqref="E26"/>
    </sheetView>
  </sheetViews>
  <sheetFormatPr defaultColWidth="8.71484375" defaultRowHeight="15" zeroHeight="false" outlineLevelRow="0" outlineLevelCol="0"/>
  <cols>
    <col collapsed="false" customWidth="true" hidden="false" outlineLevel="0" max="1" min="1" style="5" width="9"/>
    <col collapsed="false" customWidth="true" hidden="false" outlineLevel="0" max="2" min="2" style="5" width="6"/>
    <col collapsed="false" customWidth="true" hidden="false" outlineLevel="0" max="3" min="3" style="5" width="36"/>
    <col collapsed="false" customWidth="true" hidden="false" outlineLevel="0" max="4" min="4" style="5" width="40"/>
    <col collapsed="false" customWidth="true" hidden="false" outlineLevel="0" max="5" min="5" style="5" width="28"/>
    <col collapsed="false" customWidth="true" hidden="false" outlineLevel="0" max="6" min="6" style="5" width="36"/>
    <col collapsed="false" customWidth="true" hidden="false" outlineLevel="0" max="7" min="7" style="5" width="40"/>
    <col collapsed="false" customWidth="true" hidden="false" outlineLevel="0" max="8" min="8" style="5" width="34"/>
    <col collapsed="false" customWidth="true" hidden="false" outlineLevel="0" max="9" min="9" style="5" width="44"/>
  </cols>
  <sheetData>
    <row r="1" customFormat="false" ht="42" hidden="false" customHeight="true" outlineLevel="0" collapsed="false">
      <c r="A1" s="8" t="s">
        <v>667</v>
      </c>
      <c r="B1" s="8" t="s">
        <v>47</v>
      </c>
      <c r="C1" s="8" t="s">
        <v>1525</v>
      </c>
      <c r="D1" s="8" t="s">
        <v>1526</v>
      </c>
      <c r="E1" s="8" t="s">
        <v>1527</v>
      </c>
      <c r="F1" s="8" t="s">
        <v>1528</v>
      </c>
      <c r="G1" s="8" t="s">
        <v>1529</v>
      </c>
      <c r="H1" s="8" t="s">
        <v>1530</v>
      </c>
      <c r="I1" s="8" t="s">
        <v>353</v>
      </c>
    </row>
    <row r="2" customFormat="false" ht="24" hidden="false" customHeight="true" outlineLevel="0" collapsed="false">
      <c r="A2" s="12" t="s">
        <v>676</v>
      </c>
      <c r="B2" s="12" t="n">
        <v>1</v>
      </c>
      <c r="C2" s="12" t="s">
        <v>1531</v>
      </c>
      <c r="D2" s="12" t="s">
        <v>1532</v>
      </c>
      <c r="E2" s="12"/>
      <c r="F2" s="12" t="s">
        <v>1533</v>
      </c>
      <c r="G2" s="12" t="s">
        <v>1534</v>
      </c>
      <c r="H2" s="12"/>
      <c r="I2" s="12"/>
    </row>
    <row r="3" customFormat="false" ht="15" hidden="false" customHeight="true" outlineLevel="0" collapsed="false">
      <c r="A3" s="12" t="s">
        <v>676</v>
      </c>
      <c r="B3" s="12" t="n">
        <v>2</v>
      </c>
      <c r="C3" s="12" t="s">
        <v>1535</v>
      </c>
      <c r="D3" s="12" t="s">
        <v>1536</v>
      </c>
      <c r="E3" s="12"/>
      <c r="F3" s="12" t="s">
        <v>1537</v>
      </c>
      <c r="G3" s="12" t="s">
        <v>1538</v>
      </c>
      <c r="H3" s="12" t="s">
        <v>1539</v>
      </c>
      <c r="I3" s="12"/>
    </row>
    <row r="4" customFormat="false" ht="24" hidden="false" customHeight="true" outlineLevel="0" collapsed="false">
      <c r="A4" s="12" t="s">
        <v>676</v>
      </c>
      <c r="B4" s="12" t="n">
        <v>3</v>
      </c>
      <c r="C4" s="12" t="s">
        <v>1540</v>
      </c>
      <c r="D4" s="12" t="s">
        <v>1541</v>
      </c>
      <c r="E4" s="12"/>
      <c r="F4" s="12" t="s">
        <v>1537</v>
      </c>
      <c r="G4" s="12" t="s">
        <v>1538</v>
      </c>
      <c r="H4" s="12" t="s">
        <v>1542</v>
      </c>
      <c r="I4" s="12"/>
    </row>
    <row r="5" customFormat="false" ht="24" hidden="false" customHeight="true" outlineLevel="0" collapsed="false">
      <c r="A5" s="12" t="s">
        <v>676</v>
      </c>
      <c r="B5" s="12" t="n">
        <v>4</v>
      </c>
      <c r="C5" s="12" t="s">
        <v>1543</v>
      </c>
      <c r="D5" s="12" t="s">
        <v>1544</v>
      </c>
      <c r="E5" s="12"/>
      <c r="F5" s="12" t="s">
        <v>1545</v>
      </c>
      <c r="G5" s="12" t="s">
        <v>1546</v>
      </c>
      <c r="H5" s="12"/>
      <c r="I5" s="12"/>
    </row>
    <row r="6" customFormat="false" ht="15" hidden="false" customHeight="true" outlineLevel="0" collapsed="false">
      <c r="A6" s="12" t="s">
        <v>676</v>
      </c>
      <c r="B6" s="12" t="n">
        <v>5</v>
      </c>
      <c r="C6" s="12" t="s">
        <v>1547</v>
      </c>
      <c r="D6" s="12" t="s">
        <v>1548</v>
      </c>
      <c r="E6" s="12"/>
      <c r="F6" s="12" t="s">
        <v>1549</v>
      </c>
      <c r="G6" s="12" t="s">
        <v>1550</v>
      </c>
      <c r="H6" s="12"/>
      <c r="I6" s="12"/>
    </row>
    <row r="7" customFormat="false" ht="24" hidden="false" customHeight="true" outlineLevel="0" collapsed="false">
      <c r="A7" s="12" t="s">
        <v>676</v>
      </c>
      <c r="B7" s="12" t="n">
        <v>6</v>
      </c>
      <c r="C7" s="12" t="s">
        <v>1551</v>
      </c>
      <c r="D7" s="12" t="s">
        <v>1548</v>
      </c>
      <c r="E7" s="12"/>
      <c r="F7" s="12" t="s">
        <v>1552</v>
      </c>
      <c r="G7" s="12" t="s">
        <v>1553</v>
      </c>
      <c r="H7" s="12" t="s">
        <v>1554</v>
      </c>
      <c r="I7" s="12"/>
    </row>
    <row r="8" customFormat="false" ht="15" hidden="false" customHeight="true" outlineLevel="0" collapsed="false">
      <c r="A8" s="12" t="s">
        <v>676</v>
      </c>
      <c r="B8" s="12" t="n">
        <v>7</v>
      </c>
      <c r="C8" s="12" t="s">
        <v>1555</v>
      </c>
      <c r="D8" s="12" t="s">
        <v>1556</v>
      </c>
      <c r="E8" s="12"/>
      <c r="F8" s="12" t="s">
        <v>1557</v>
      </c>
      <c r="G8" s="12" t="s">
        <v>1558</v>
      </c>
      <c r="H8" s="12"/>
      <c r="I8" s="12"/>
    </row>
    <row r="9" customFormat="false" ht="24" hidden="false" customHeight="true" outlineLevel="0" collapsed="false">
      <c r="A9" s="12" t="s">
        <v>676</v>
      </c>
      <c r="B9" s="12" t="n">
        <v>8</v>
      </c>
      <c r="C9" s="12" t="s">
        <v>1559</v>
      </c>
      <c r="D9" s="12" t="s">
        <v>1548</v>
      </c>
      <c r="E9" s="12"/>
      <c r="F9" s="12" t="s">
        <v>1560</v>
      </c>
      <c r="G9" s="12" t="s">
        <v>1546</v>
      </c>
      <c r="H9" s="12"/>
      <c r="I9" s="12"/>
    </row>
    <row r="10" customFormat="false" ht="24" hidden="false" customHeight="true" outlineLevel="0" collapsed="false">
      <c r="A10" s="12" t="s">
        <v>676</v>
      </c>
      <c r="B10" s="12" t="n">
        <v>9</v>
      </c>
      <c r="C10" s="12" t="s">
        <v>1561</v>
      </c>
      <c r="D10" s="12" t="s">
        <v>1562</v>
      </c>
      <c r="E10" s="12"/>
      <c r="F10" s="12" t="s">
        <v>1563</v>
      </c>
      <c r="G10" s="12" t="s">
        <v>1564</v>
      </c>
      <c r="H10" s="12"/>
      <c r="I10" s="12"/>
    </row>
    <row r="11" customFormat="false" ht="15" hidden="false" customHeight="true" outlineLevel="0" collapsed="false">
      <c r="A11" s="12" t="s">
        <v>676</v>
      </c>
      <c r="B11" s="12" t="n">
        <v>10</v>
      </c>
      <c r="C11" s="12" t="s">
        <v>1565</v>
      </c>
      <c r="D11" s="12" t="s">
        <v>1566</v>
      </c>
      <c r="E11" s="12"/>
      <c r="F11" s="12" t="s">
        <v>1567</v>
      </c>
      <c r="G11" s="12" t="s">
        <v>1568</v>
      </c>
      <c r="H11" s="12"/>
      <c r="I11" s="12"/>
    </row>
    <row r="12" customFormat="false" ht="24" hidden="false" customHeight="true" outlineLevel="0" collapsed="false">
      <c r="A12" s="12" t="s">
        <v>806</v>
      </c>
      <c r="B12" s="12" t="n">
        <v>1</v>
      </c>
      <c r="C12" s="12" t="s">
        <v>1531</v>
      </c>
      <c r="D12" s="12" t="s">
        <v>1569</v>
      </c>
      <c r="E12" s="12"/>
      <c r="F12" s="12" t="s">
        <v>1533</v>
      </c>
      <c r="G12" s="12" t="s">
        <v>1570</v>
      </c>
      <c r="H12" s="12"/>
      <c r="I12" s="12"/>
    </row>
    <row r="13" customFormat="false" ht="15" hidden="false" customHeight="true" outlineLevel="0" collapsed="false">
      <c r="A13" s="12" t="s">
        <v>806</v>
      </c>
      <c r="B13" s="12" t="n">
        <v>2</v>
      </c>
      <c r="C13" s="12" t="s">
        <v>1535</v>
      </c>
      <c r="D13" s="12" t="s">
        <v>1536</v>
      </c>
      <c r="E13" s="12"/>
      <c r="F13" s="12" t="s">
        <v>1537</v>
      </c>
      <c r="G13" s="12" t="s">
        <v>1538</v>
      </c>
      <c r="H13" s="12"/>
      <c r="I13" s="12"/>
    </row>
    <row r="14" customFormat="false" ht="15" hidden="false" customHeight="true" outlineLevel="0" collapsed="false">
      <c r="A14" s="12" t="s">
        <v>806</v>
      </c>
      <c r="B14" s="12" t="n">
        <v>3</v>
      </c>
      <c r="C14" s="12" t="s">
        <v>1571</v>
      </c>
      <c r="D14" s="12" t="s">
        <v>1544</v>
      </c>
      <c r="E14" s="12"/>
      <c r="F14" s="12" t="s">
        <v>1572</v>
      </c>
      <c r="G14" s="12" t="s">
        <v>1546</v>
      </c>
      <c r="H14" s="12"/>
      <c r="I14" s="12"/>
    </row>
    <row r="15" customFormat="false" ht="24" hidden="false" customHeight="true" outlineLevel="0" collapsed="false">
      <c r="A15" s="12" t="s">
        <v>806</v>
      </c>
      <c r="B15" s="12" t="n">
        <v>4</v>
      </c>
      <c r="C15" s="12" t="s">
        <v>1573</v>
      </c>
      <c r="D15" s="12" t="s">
        <v>1574</v>
      </c>
      <c r="E15" s="12"/>
      <c r="F15" s="12" t="s">
        <v>1575</v>
      </c>
      <c r="G15" s="12" t="s">
        <v>1576</v>
      </c>
      <c r="H15" s="12"/>
      <c r="I15" s="12"/>
    </row>
    <row r="16" customFormat="false" ht="24" hidden="false" customHeight="true" outlineLevel="0" collapsed="false">
      <c r="A16" s="12" t="s">
        <v>806</v>
      </c>
      <c r="B16" s="12" t="n">
        <v>5</v>
      </c>
      <c r="C16" s="12" t="s">
        <v>1577</v>
      </c>
      <c r="D16" s="12" t="s">
        <v>1574</v>
      </c>
      <c r="E16" s="12"/>
      <c r="F16" s="12" t="s">
        <v>1578</v>
      </c>
      <c r="G16" s="12" t="s">
        <v>1579</v>
      </c>
      <c r="H16" s="12"/>
      <c r="I16" s="12"/>
    </row>
    <row r="17" customFormat="false" ht="24" hidden="false" customHeight="true" outlineLevel="0" collapsed="false">
      <c r="A17" s="12" t="s">
        <v>806</v>
      </c>
      <c r="B17" s="12" t="n">
        <v>6</v>
      </c>
      <c r="C17" s="12" t="s">
        <v>1580</v>
      </c>
      <c r="D17" s="12" t="s">
        <v>1574</v>
      </c>
      <c r="E17" s="12"/>
      <c r="F17" s="12" t="s">
        <v>1581</v>
      </c>
      <c r="G17" s="12" t="s">
        <v>1582</v>
      </c>
      <c r="H17" s="12"/>
      <c r="I17" s="12"/>
    </row>
    <row r="18" customFormat="false" ht="24" hidden="false" customHeight="true" outlineLevel="0" collapsed="false">
      <c r="A18" s="12" t="s">
        <v>806</v>
      </c>
      <c r="B18" s="12" t="n">
        <v>7</v>
      </c>
      <c r="C18" s="12" t="s">
        <v>1551</v>
      </c>
      <c r="D18" s="12" t="s">
        <v>1574</v>
      </c>
      <c r="E18" s="12"/>
      <c r="F18" s="12" t="s">
        <v>1552</v>
      </c>
      <c r="G18" s="12" t="s">
        <v>1583</v>
      </c>
      <c r="H18" s="12"/>
      <c r="I18" s="12"/>
    </row>
    <row r="19" customFormat="false" ht="15" hidden="false" customHeight="true" outlineLevel="0" collapsed="false">
      <c r="A19" s="12" t="s">
        <v>806</v>
      </c>
      <c r="B19" s="12" t="n">
        <v>8</v>
      </c>
      <c r="C19" s="12" t="s">
        <v>1584</v>
      </c>
      <c r="D19" s="12" t="s">
        <v>1585</v>
      </c>
      <c r="E19" s="12"/>
      <c r="F19" s="12" t="s">
        <v>1586</v>
      </c>
      <c r="G19" s="12" t="s">
        <v>1558</v>
      </c>
      <c r="H19" s="12" t="s">
        <v>1587</v>
      </c>
      <c r="I19" s="12"/>
    </row>
    <row r="20" customFormat="false" ht="15" hidden="false" customHeight="true" outlineLevel="0" collapsed="false">
      <c r="A20" s="12" t="s">
        <v>806</v>
      </c>
      <c r="B20" s="12" t="n">
        <v>9</v>
      </c>
      <c r="C20" s="12" t="s">
        <v>1561</v>
      </c>
      <c r="D20" s="12" t="s">
        <v>1588</v>
      </c>
      <c r="E20" s="12"/>
      <c r="F20" s="12" t="s">
        <v>1563</v>
      </c>
      <c r="G20" s="12" t="s">
        <v>1564</v>
      </c>
      <c r="H20" s="12"/>
      <c r="I20" s="12"/>
    </row>
    <row r="21" customFormat="false" ht="15" hidden="false" customHeight="true" outlineLevel="0" collapsed="false">
      <c r="A21" s="12" t="s">
        <v>806</v>
      </c>
      <c r="B21" s="12" t="n">
        <v>10</v>
      </c>
      <c r="C21" s="12" t="s">
        <v>1565</v>
      </c>
      <c r="D21" s="12" t="s">
        <v>1566</v>
      </c>
      <c r="E21" s="12"/>
      <c r="F21" s="12" t="s">
        <v>1567</v>
      </c>
      <c r="G21" s="12" t="s">
        <v>1568</v>
      </c>
      <c r="H21" s="12"/>
      <c r="I21" s="12"/>
    </row>
    <row r="22" customFormat="false" ht="24" hidden="false" customHeight="true" outlineLevel="0" collapsed="false">
      <c r="A22" s="12" t="s">
        <v>816</v>
      </c>
      <c r="B22" s="12" t="n">
        <v>1</v>
      </c>
      <c r="C22" s="12" t="s">
        <v>1531</v>
      </c>
      <c r="D22" s="12" t="s">
        <v>1589</v>
      </c>
      <c r="E22" s="12"/>
      <c r="F22" s="12" t="s">
        <v>1533</v>
      </c>
      <c r="G22" s="12" t="s">
        <v>1590</v>
      </c>
      <c r="H22" s="12"/>
      <c r="I22" s="12"/>
    </row>
    <row r="23" customFormat="false" ht="15" hidden="false" customHeight="true" outlineLevel="0" collapsed="false">
      <c r="A23" s="12" t="s">
        <v>816</v>
      </c>
      <c r="B23" s="12" t="n">
        <v>2</v>
      </c>
      <c r="C23" s="12" t="s">
        <v>1535</v>
      </c>
      <c r="D23" s="12" t="s">
        <v>1536</v>
      </c>
      <c r="E23" s="12"/>
      <c r="F23" s="12" t="s">
        <v>1537</v>
      </c>
      <c r="G23" s="12" t="s">
        <v>1538</v>
      </c>
      <c r="H23" s="12"/>
      <c r="I23" s="12"/>
    </row>
    <row r="24" customFormat="false" ht="15" hidden="false" customHeight="true" outlineLevel="0" collapsed="false">
      <c r="A24" s="12" t="s">
        <v>816</v>
      </c>
      <c r="B24" s="12" t="n">
        <v>3</v>
      </c>
      <c r="C24" s="12" t="s">
        <v>1591</v>
      </c>
      <c r="D24" s="12" t="s">
        <v>1544</v>
      </c>
      <c r="E24" s="12"/>
      <c r="F24" s="12" t="s">
        <v>1592</v>
      </c>
      <c r="G24" s="12" t="s">
        <v>1546</v>
      </c>
      <c r="H24" s="12"/>
      <c r="I24" s="12"/>
    </row>
    <row r="25" customFormat="false" ht="24" hidden="false" customHeight="true" outlineLevel="0" collapsed="false">
      <c r="A25" s="12" t="s">
        <v>816</v>
      </c>
      <c r="B25" s="12" t="n">
        <v>4</v>
      </c>
      <c r="C25" s="12" t="s">
        <v>1593</v>
      </c>
      <c r="D25" s="12" t="s">
        <v>1594</v>
      </c>
      <c r="E25" s="12"/>
      <c r="F25" s="12" t="s">
        <v>1595</v>
      </c>
      <c r="G25" s="12" t="s">
        <v>1596</v>
      </c>
      <c r="H25" s="12"/>
      <c r="I25" s="12"/>
    </row>
    <row r="26" customFormat="false" ht="24" hidden="false" customHeight="true" outlineLevel="0" collapsed="false">
      <c r="A26" s="12" t="s">
        <v>816</v>
      </c>
      <c r="B26" s="12" t="n">
        <v>5</v>
      </c>
      <c r="C26" s="12" t="s">
        <v>1597</v>
      </c>
      <c r="D26" s="12" t="s">
        <v>1594</v>
      </c>
      <c r="E26" s="12"/>
      <c r="F26" s="12" t="s">
        <v>1598</v>
      </c>
      <c r="G26" s="12" t="s">
        <v>1546</v>
      </c>
      <c r="H26" s="12"/>
      <c r="I26" s="12"/>
    </row>
    <row r="27" customFormat="false" ht="24" hidden="false" customHeight="true" outlineLevel="0" collapsed="false">
      <c r="A27" s="12" t="s">
        <v>816</v>
      </c>
      <c r="B27" s="12" t="n">
        <v>6</v>
      </c>
      <c r="C27" s="12" t="s">
        <v>1599</v>
      </c>
      <c r="D27" s="12" t="s">
        <v>1594</v>
      </c>
      <c r="E27" s="12"/>
      <c r="F27" s="12" t="s">
        <v>1600</v>
      </c>
      <c r="G27" s="12" t="s">
        <v>1546</v>
      </c>
      <c r="H27" s="12"/>
      <c r="I27" s="12"/>
    </row>
    <row r="28" customFormat="false" ht="24" hidden="false" customHeight="true" outlineLevel="0" collapsed="false">
      <c r="A28" s="12" t="s">
        <v>816</v>
      </c>
      <c r="B28" s="12" t="n">
        <v>7</v>
      </c>
      <c r="C28" s="12" t="s">
        <v>1601</v>
      </c>
      <c r="D28" s="12" t="s">
        <v>1594</v>
      </c>
      <c r="E28" s="12"/>
      <c r="F28" s="12" t="s">
        <v>1602</v>
      </c>
      <c r="G28" s="12" t="s">
        <v>1603</v>
      </c>
      <c r="H28" s="12"/>
      <c r="I28" s="12"/>
    </row>
    <row r="29" customFormat="false" ht="24" hidden="false" customHeight="true" outlineLevel="0" collapsed="false">
      <c r="A29" s="12" t="s">
        <v>816</v>
      </c>
      <c r="B29" s="12" t="n">
        <v>8</v>
      </c>
      <c r="C29" s="12" t="s">
        <v>1551</v>
      </c>
      <c r="D29" s="12" t="s">
        <v>1594</v>
      </c>
      <c r="E29" s="12"/>
      <c r="F29" s="12" t="s">
        <v>1552</v>
      </c>
      <c r="G29" s="12" t="s">
        <v>1583</v>
      </c>
      <c r="H29" s="12"/>
      <c r="I29" s="12"/>
    </row>
    <row r="30" customFormat="false" ht="24" hidden="false" customHeight="true" outlineLevel="0" collapsed="false">
      <c r="A30" s="12" t="s">
        <v>816</v>
      </c>
      <c r="B30" s="12" t="n">
        <v>9</v>
      </c>
      <c r="C30" s="12" t="s">
        <v>1561</v>
      </c>
      <c r="D30" s="12" t="s">
        <v>1604</v>
      </c>
      <c r="E30" s="12"/>
      <c r="F30" s="12" t="s">
        <v>1563</v>
      </c>
      <c r="G30" s="12" t="s">
        <v>1564</v>
      </c>
      <c r="H30" s="12"/>
      <c r="I30" s="12"/>
    </row>
    <row r="31" customFormat="false" ht="15" hidden="false" customHeight="true" outlineLevel="0" collapsed="false">
      <c r="A31" s="12" t="s">
        <v>816</v>
      </c>
      <c r="B31" s="12" t="n">
        <v>10</v>
      </c>
      <c r="C31" s="12" t="s">
        <v>1565</v>
      </c>
      <c r="D31" s="12" t="s">
        <v>1566</v>
      </c>
      <c r="E31" s="12"/>
      <c r="F31" s="12" t="s">
        <v>1567</v>
      </c>
      <c r="G31" s="12" t="s">
        <v>1568</v>
      </c>
      <c r="H31" s="12"/>
      <c r="I31" s="12"/>
    </row>
    <row r="32" customFormat="false" ht="24" hidden="false" customHeight="true" outlineLevel="0" collapsed="false">
      <c r="A32" s="12" t="s">
        <v>684</v>
      </c>
      <c r="B32" s="12" t="n">
        <v>1</v>
      </c>
      <c r="C32" s="12" t="s">
        <v>1605</v>
      </c>
      <c r="D32" s="12" t="s">
        <v>1606</v>
      </c>
      <c r="E32" s="12" t="s">
        <v>1607</v>
      </c>
      <c r="F32" s="12" t="s">
        <v>1608</v>
      </c>
      <c r="G32" s="12" t="s">
        <v>1609</v>
      </c>
      <c r="H32" s="12" t="s">
        <v>1610</v>
      </c>
      <c r="I32" s="12"/>
    </row>
    <row r="33" customFormat="false" ht="24" hidden="false" customHeight="true" outlineLevel="0" collapsed="false">
      <c r="A33" s="12" t="s">
        <v>684</v>
      </c>
      <c r="B33" s="12" t="n">
        <v>2</v>
      </c>
      <c r="C33" s="12" t="s">
        <v>1611</v>
      </c>
      <c r="D33" s="12" t="s">
        <v>1612</v>
      </c>
      <c r="E33" s="12"/>
      <c r="F33" s="12" t="s">
        <v>1613</v>
      </c>
      <c r="G33" s="12" t="s">
        <v>1614</v>
      </c>
      <c r="H33" s="12"/>
      <c r="I33" s="12"/>
    </row>
    <row r="34" customFormat="false" ht="24" hidden="false" customHeight="true" outlineLevel="0" collapsed="false">
      <c r="A34" s="12" t="s">
        <v>684</v>
      </c>
      <c r="B34" s="12" t="n">
        <v>3</v>
      </c>
      <c r="C34" s="12" t="s">
        <v>1615</v>
      </c>
      <c r="D34" s="12" t="s">
        <v>1616</v>
      </c>
      <c r="E34" s="12"/>
      <c r="F34" s="12" t="s">
        <v>1617</v>
      </c>
      <c r="G34" s="12" t="s">
        <v>1618</v>
      </c>
      <c r="H34" s="12" t="s">
        <v>1619</v>
      </c>
      <c r="I34" s="12"/>
    </row>
    <row r="35" customFormat="false" ht="24" hidden="false" customHeight="true" outlineLevel="0" collapsed="false">
      <c r="A35" s="12" t="s">
        <v>684</v>
      </c>
      <c r="B35" s="12" t="n">
        <v>4</v>
      </c>
      <c r="C35" s="12" t="s">
        <v>1620</v>
      </c>
      <c r="D35" s="12" t="s">
        <v>1621</v>
      </c>
      <c r="E35" s="12"/>
      <c r="F35" s="12" t="s">
        <v>1622</v>
      </c>
      <c r="G35" s="12" t="s">
        <v>1623</v>
      </c>
      <c r="H35" s="12" t="s">
        <v>1624</v>
      </c>
      <c r="I35" s="12"/>
    </row>
    <row r="36" customFormat="false" ht="24" hidden="false" customHeight="true" outlineLevel="0" collapsed="false">
      <c r="A36" s="12" t="s">
        <v>684</v>
      </c>
      <c r="B36" s="12" t="n">
        <v>5</v>
      </c>
      <c r="C36" s="12" t="s">
        <v>1625</v>
      </c>
      <c r="D36" s="12" t="s">
        <v>1626</v>
      </c>
      <c r="E36" s="12"/>
      <c r="F36" s="12" t="s">
        <v>1627</v>
      </c>
      <c r="G36" s="12" t="s">
        <v>1628</v>
      </c>
      <c r="H36" s="12" t="s">
        <v>1629</v>
      </c>
      <c r="I36" s="12"/>
    </row>
    <row r="37" customFormat="false" ht="24" hidden="false" customHeight="true" outlineLevel="0" collapsed="false">
      <c r="A37" s="12" t="s">
        <v>684</v>
      </c>
      <c r="B37" s="12" t="n">
        <v>6</v>
      </c>
      <c r="C37" s="12" t="s">
        <v>1630</v>
      </c>
      <c r="D37" s="12" t="s">
        <v>1631</v>
      </c>
      <c r="E37" s="12"/>
      <c r="F37" s="12" t="s">
        <v>1632</v>
      </c>
      <c r="G37" s="12" t="s">
        <v>1633</v>
      </c>
      <c r="H37" s="12"/>
      <c r="I37" s="12"/>
    </row>
    <row r="38" customFormat="false" ht="24" hidden="false" customHeight="true" outlineLevel="0" collapsed="false">
      <c r="A38" s="12" t="s">
        <v>684</v>
      </c>
      <c r="B38" s="12" t="n">
        <v>7</v>
      </c>
      <c r="C38" s="12" t="s">
        <v>1634</v>
      </c>
      <c r="D38" s="12" t="s">
        <v>1635</v>
      </c>
      <c r="E38" s="12"/>
      <c r="F38" s="12" t="s">
        <v>1636</v>
      </c>
      <c r="G38" s="12" t="s">
        <v>1637</v>
      </c>
      <c r="H38" s="12"/>
      <c r="I38" s="12"/>
    </row>
    <row r="39" customFormat="false" ht="24" hidden="false" customHeight="true" outlineLevel="0" collapsed="false">
      <c r="A39" s="12" t="s">
        <v>684</v>
      </c>
      <c r="B39" s="12" t="n">
        <v>8</v>
      </c>
      <c r="C39" s="12" t="s">
        <v>1638</v>
      </c>
      <c r="D39" s="12" t="s">
        <v>1639</v>
      </c>
      <c r="E39" s="12"/>
      <c r="F39" s="12" t="s">
        <v>1640</v>
      </c>
      <c r="G39" s="12" t="s">
        <v>1641</v>
      </c>
      <c r="H39" s="12"/>
      <c r="I39" s="12"/>
    </row>
    <row r="40" customFormat="false" ht="24" hidden="false" customHeight="true" outlineLevel="0" collapsed="false">
      <c r="A40" s="12" t="s">
        <v>684</v>
      </c>
      <c r="B40" s="12" t="n">
        <v>9</v>
      </c>
      <c r="C40" s="12" t="s">
        <v>1642</v>
      </c>
      <c r="D40" s="12" t="s">
        <v>1643</v>
      </c>
      <c r="E40" s="12"/>
      <c r="F40" s="12" t="s">
        <v>1644</v>
      </c>
      <c r="G40" s="12" t="s">
        <v>1645</v>
      </c>
      <c r="H40" s="12" t="s">
        <v>1646</v>
      </c>
      <c r="I40" s="12"/>
    </row>
    <row r="41" customFormat="false" ht="24" hidden="false" customHeight="true" outlineLevel="0" collapsed="false">
      <c r="A41" s="12" t="s">
        <v>684</v>
      </c>
      <c r="B41" s="12" t="n">
        <v>10</v>
      </c>
      <c r="C41" s="12" t="s">
        <v>1647</v>
      </c>
      <c r="D41" s="12" t="s">
        <v>1648</v>
      </c>
      <c r="E41" s="12"/>
      <c r="F41" s="12" t="s">
        <v>1641</v>
      </c>
      <c r="G41" s="12" t="s">
        <v>1649</v>
      </c>
      <c r="H41" s="12" t="s">
        <v>1650</v>
      </c>
      <c r="I41" s="12"/>
    </row>
    <row r="42" customFormat="false" ht="24" hidden="false" customHeight="true" outlineLevel="0" collapsed="false">
      <c r="A42" s="12" t="s">
        <v>684</v>
      </c>
      <c r="B42" s="12" t="n">
        <v>11</v>
      </c>
      <c r="C42" s="12" t="s">
        <v>1651</v>
      </c>
      <c r="D42" s="12" t="s">
        <v>1652</v>
      </c>
      <c r="E42" s="12"/>
      <c r="F42" s="12" t="s">
        <v>1653</v>
      </c>
      <c r="G42" s="12" t="s">
        <v>1654</v>
      </c>
      <c r="H42" s="12" t="s">
        <v>1655</v>
      </c>
      <c r="I42" s="12"/>
    </row>
    <row r="43" customFormat="false" ht="24" hidden="false" customHeight="true" outlineLevel="0" collapsed="false">
      <c r="A43" s="12" t="s">
        <v>684</v>
      </c>
      <c r="B43" s="12" t="n">
        <v>12</v>
      </c>
      <c r="C43" s="12" t="s">
        <v>1656</v>
      </c>
      <c r="D43" s="12" t="s">
        <v>1657</v>
      </c>
      <c r="E43" s="12"/>
      <c r="F43" s="12" t="s">
        <v>1658</v>
      </c>
      <c r="G43" s="12" t="s">
        <v>1628</v>
      </c>
      <c r="H43" s="12" t="s">
        <v>1659</v>
      </c>
      <c r="I43" s="12"/>
    </row>
    <row r="44" customFormat="false" ht="15" hidden="false" customHeight="true" outlineLevel="0" collapsed="false">
      <c r="A44" s="12" t="s">
        <v>688</v>
      </c>
      <c r="B44" s="12" t="n">
        <v>1</v>
      </c>
      <c r="C44" s="12" t="s">
        <v>1660</v>
      </c>
      <c r="D44" s="12" t="s">
        <v>1661</v>
      </c>
      <c r="E44" s="12"/>
      <c r="F44" s="12" t="s">
        <v>1662</v>
      </c>
      <c r="G44" s="12" t="s">
        <v>1663</v>
      </c>
      <c r="H44" s="12"/>
      <c r="I44" s="12"/>
    </row>
    <row r="45" customFormat="false" ht="15" hidden="false" customHeight="true" outlineLevel="0" collapsed="false">
      <c r="A45" s="12" t="s">
        <v>688</v>
      </c>
      <c r="B45" s="12" t="n">
        <v>2</v>
      </c>
      <c r="C45" s="12" t="s">
        <v>1664</v>
      </c>
      <c r="D45" s="12" t="s">
        <v>1665</v>
      </c>
      <c r="E45" s="12"/>
      <c r="F45" s="12" t="s">
        <v>1666</v>
      </c>
      <c r="G45" s="12" t="s">
        <v>1667</v>
      </c>
      <c r="H45" s="12" t="s">
        <v>1668</v>
      </c>
      <c r="I45" s="12"/>
    </row>
    <row r="46" customFormat="false" ht="15" hidden="false" customHeight="true" outlineLevel="0" collapsed="false">
      <c r="A46" s="12" t="s">
        <v>688</v>
      </c>
      <c r="B46" s="12" t="n">
        <v>3</v>
      </c>
      <c r="C46" s="12" t="s">
        <v>1669</v>
      </c>
      <c r="D46" s="12" t="s">
        <v>1670</v>
      </c>
      <c r="E46" s="12"/>
      <c r="F46" s="12" t="s">
        <v>1662</v>
      </c>
      <c r="G46" s="12" t="s">
        <v>1671</v>
      </c>
      <c r="H46" s="12"/>
      <c r="I46" s="12"/>
    </row>
    <row r="47" customFormat="false" ht="24" hidden="false" customHeight="true" outlineLevel="0" collapsed="false">
      <c r="A47" s="12" t="s">
        <v>688</v>
      </c>
      <c r="B47" s="12" t="n">
        <v>4</v>
      </c>
      <c r="C47" s="12" t="s">
        <v>1672</v>
      </c>
      <c r="D47" s="12" t="s">
        <v>1673</v>
      </c>
      <c r="E47" s="12"/>
      <c r="F47" s="12" t="s">
        <v>1662</v>
      </c>
      <c r="G47" s="12" t="s">
        <v>1671</v>
      </c>
      <c r="H47" s="12"/>
      <c r="I47" s="12"/>
    </row>
    <row r="48" customFormat="false" ht="24" hidden="false" customHeight="true" outlineLevel="0" collapsed="false">
      <c r="A48" s="12" t="s">
        <v>688</v>
      </c>
      <c r="B48" s="12" t="n">
        <v>5</v>
      </c>
      <c r="C48" s="12" t="s">
        <v>147</v>
      </c>
      <c r="D48" s="12" t="s">
        <v>1674</v>
      </c>
      <c r="E48" s="12"/>
      <c r="F48" s="12" t="s">
        <v>1662</v>
      </c>
      <c r="G48" s="12" t="s">
        <v>1675</v>
      </c>
      <c r="H48" s="12"/>
      <c r="I48" s="12"/>
    </row>
    <row r="49" customFormat="false" ht="24" hidden="false" customHeight="true" outlineLevel="0" collapsed="false">
      <c r="A49" s="12" t="s">
        <v>688</v>
      </c>
      <c r="B49" s="12" t="n">
        <v>6</v>
      </c>
      <c r="C49" s="12" t="s">
        <v>1676</v>
      </c>
      <c r="D49" s="12" t="s">
        <v>1677</v>
      </c>
      <c r="E49" s="12"/>
      <c r="F49" s="12" t="s">
        <v>1662</v>
      </c>
      <c r="G49" s="12" t="s">
        <v>1678</v>
      </c>
      <c r="H49" s="12"/>
      <c r="I49" s="12"/>
    </row>
    <row r="50" customFormat="false" ht="15" hidden="false" customHeight="true" outlineLevel="0" collapsed="false">
      <c r="A50" s="12" t="s">
        <v>688</v>
      </c>
      <c r="B50" s="12" t="n">
        <v>7</v>
      </c>
      <c r="C50" s="12" t="s">
        <v>1679</v>
      </c>
      <c r="D50" s="12" t="s">
        <v>1680</v>
      </c>
      <c r="E50" s="12"/>
      <c r="F50" s="12" t="s">
        <v>1662</v>
      </c>
      <c r="G50" s="12" t="s">
        <v>1681</v>
      </c>
      <c r="H50" s="12" t="s">
        <v>1646</v>
      </c>
      <c r="I50" s="12"/>
    </row>
    <row r="51" customFormat="false" ht="15" hidden="false" customHeight="true" outlineLevel="0" collapsed="false">
      <c r="A51" s="12" t="s">
        <v>688</v>
      </c>
      <c r="B51" s="12" t="n">
        <v>8</v>
      </c>
      <c r="C51" s="12" t="s">
        <v>1682</v>
      </c>
      <c r="D51" s="12" t="s">
        <v>1544</v>
      </c>
      <c r="E51" s="12"/>
      <c r="F51" s="12" t="s">
        <v>1683</v>
      </c>
      <c r="G51" s="12" t="s">
        <v>1546</v>
      </c>
      <c r="H51" s="12"/>
      <c r="I51" s="12"/>
    </row>
    <row r="52" customFormat="false" ht="24" hidden="false" customHeight="true" outlineLevel="0" collapsed="false">
      <c r="A52" s="12" t="s">
        <v>688</v>
      </c>
      <c r="B52" s="12" t="n">
        <v>9</v>
      </c>
      <c r="C52" s="12" t="s">
        <v>1684</v>
      </c>
      <c r="D52" s="12" t="s">
        <v>1685</v>
      </c>
      <c r="E52" s="12"/>
      <c r="F52" s="12" t="s">
        <v>1662</v>
      </c>
      <c r="G52" s="12" t="s">
        <v>1686</v>
      </c>
      <c r="H52" s="12" t="s">
        <v>1687</v>
      </c>
      <c r="I52" s="12"/>
    </row>
    <row r="53" customFormat="false" ht="24" hidden="false" customHeight="true" outlineLevel="0" collapsed="false">
      <c r="A53" s="12" t="s">
        <v>688</v>
      </c>
      <c r="B53" s="12" t="n">
        <v>10</v>
      </c>
      <c r="C53" s="12" t="s">
        <v>1688</v>
      </c>
      <c r="D53" s="12" t="s">
        <v>1689</v>
      </c>
      <c r="E53" s="12"/>
      <c r="F53" s="12" t="s">
        <v>1690</v>
      </c>
      <c r="G53" s="12" t="s">
        <v>1691</v>
      </c>
      <c r="H53" s="12"/>
      <c r="I53" s="12"/>
    </row>
    <row r="54" customFormat="false" ht="24" hidden="false" customHeight="true" outlineLevel="0" collapsed="false">
      <c r="A54" s="12" t="s">
        <v>690</v>
      </c>
      <c r="B54" s="12" t="n">
        <v>1</v>
      </c>
      <c r="C54" s="12" t="s">
        <v>1692</v>
      </c>
      <c r="D54" s="12" t="s">
        <v>1661</v>
      </c>
      <c r="E54" s="12"/>
      <c r="F54" s="12" t="s">
        <v>1693</v>
      </c>
      <c r="G54" s="12" t="s">
        <v>1694</v>
      </c>
      <c r="H54" s="12" t="s">
        <v>1695</v>
      </c>
      <c r="I54" s="12"/>
    </row>
    <row r="55" customFormat="false" ht="24" hidden="false" customHeight="true" outlineLevel="0" collapsed="false">
      <c r="A55" s="12" t="s">
        <v>690</v>
      </c>
      <c r="B55" s="12" t="n">
        <v>2</v>
      </c>
      <c r="C55" s="12" t="s">
        <v>1696</v>
      </c>
      <c r="D55" s="12" t="s">
        <v>1697</v>
      </c>
      <c r="E55" s="12"/>
      <c r="F55" s="12" t="s">
        <v>1698</v>
      </c>
      <c r="G55" s="12" t="s">
        <v>1699</v>
      </c>
      <c r="H55" s="12"/>
      <c r="I55" s="12"/>
    </row>
    <row r="56" customFormat="false" ht="24" hidden="false" customHeight="true" outlineLevel="0" collapsed="false">
      <c r="A56" s="12" t="s">
        <v>690</v>
      </c>
      <c r="B56" s="12" t="n">
        <v>3</v>
      </c>
      <c r="C56" s="12" t="s">
        <v>1700</v>
      </c>
      <c r="D56" s="12" t="s">
        <v>1701</v>
      </c>
      <c r="E56" s="12"/>
      <c r="F56" s="12" t="s">
        <v>1702</v>
      </c>
      <c r="G56" s="12" t="s">
        <v>1703</v>
      </c>
      <c r="H56" s="12"/>
      <c r="I56" s="12"/>
    </row>
    <row r="57" customFormat="false" ht="24" hidden="false" customHeight="true" outlineLevel="0" collapsed="false">
      <c r="A57" s="12" t="s">
        <v>690</v>
      </c>
      <c r="B57" s="12" t="n">
        <v>4</v>
      </c>
      <c r="C57" s="12" t="s">
        <v>1704</v>
      </c>
      <c r="D57" s="12" t="s">
        <v>1705</v>
      </c>
      <c r="E57" s="12"/>
      <c r="F57" s="12" t="s">
        <v>1706</v>
      </c>
      <c r="G57" s="12" t="s">
        <v>1707</v>
      </c>
      <c r="H57" s="12"/>
      <c r="I57" s="12"/>
    </row>
    <row r="58" customFormat="false" ht="24" hidden="false" customHeight="true" outlineLevel="0" collapsed="false">
      <c r="A58" s="12" t="s">
        <v>690</v>
      </c>
      <c r="B58" s="12" t="n">
        <v>5</v>
      </c>
      <c r="C58" s="12" t="s">
        <v>1708</v>
      </c>
      <c r="D58" s="12" t="s">
        <v>1709</v>
      </c>
      <c r="E58" s="12"/>
      <c r="F58" s="12" t="s">
        <v>1710</v>
      </c>
      <c r="G58" s="12" t="s">
        <v>1641</v>
      </c>
      <c r="H58" s="12" t="s">
        <v>1711</v>
      </c>
      <c r="I58" s="12"/>
    </row>
    <row r="59" customFormat="false" ht="24" hidden="false" customHeight="true" outlineLevel="0" collapsed="false">
      <c r="A59" s="12" t="s">
        <v>690</v>
      </c>
      <c r="B59" s="12" t="n">
        <v>6</v>
      </c>
      <c r="C59" s="12" t="s">
        <v>1712</v>
      </c>
      <c r="D59" s="12" t="s">
        <v>1713</v>
      </c>
      <c r="E59" s="12"/>
      <c r="F59" s="12" t="s">
        <v>1714</v>
      </c>
      <c r="G59" s="12" t="s">
        <v>1715</v>
      </c>
      <c r="H59" s="12"/>
      <c r="I59" s="12"/>
    </row>
    <row r="60" customFormat="false" ht="24" hidden="false" customHeight="true" outlineLevel="0" collapsed="false">
      <c r="A60" s="12" t="s">
        <v>690</v>
      </c>
      <c r="B60" s="12" t="n">
        <v>7</v>
      </c>
      <c r="C60" s="12" t="s">
        <v>1716</v>
      </c>
      <c r="D60" s="12" t="s">
        <v>1717</v>
      </c>
      <c r="E60" s="12"/>
      <c r="F60" s="12" t="s">
        <v>1710</v>
      </c>
      <c r="G60" s="12" t="s">
        <v>1718</v>
      </c>
      <c r="H60" s="12"/>
      <c r="I60" s="12"/>
    </row>
    <row r="61" customFormat="false" ht="24" hidden="false" customHeight="true" outlineLevel="0" collapsed="false">
      <c r="A61" s="12" t="s">
        <v>690</v>
      </c>
      <c r="B61" s="12" t="n">
        <v>8</v>
      </c>
      <c r="C61" s="12" t="s">
        <v>1719</v>
      </c>
      <c r="D61" s="12" t="s">
        <v>1720</v>
      </c>
      <c r="E61" s="12"/>
      <c r="F61" s="12" t="s">
        <v>1721</v>
      </c>
      <c r="G61" s="12" t="s">
        <v>1722</v>
      </c>
      <c r="H61" s="12"/>
      <c r="I61" s="12"/>
    </row>
    <row r="62" customFormat="false" ht="15" hidden="false" customHeight="true" outlineLevel="0" collapsed="false">
      <c r="A62" s="12" t="s">
        <v>690</v>
      </c>
      <c r="B62" s="12" t="n">
        <v>9</v>
      </c>
      <c r="C62" s="12" t="s">
        <v>1723</v>
      </c>
      <c r="D62" s="12" t="s">
        <v>1665</v>
      </c>
      <c r="E62" s="12"/>
      <c r="F62" s="12" t="s">
        <v>1724</v>
      </c>
      <c r="G62" s="12" t="s">
        <v>1546</v>
      </c>
      <c r="H62" s="12"/>
      <c r="I62" s="12"/>
    </row>
    <row r="63" customFormat="false" ht="24" hidden="false" customHeight="true" outlineLevel="0" collapsed="false">
      <c r="A63" s="12" t="s">
        <v>690</v>
      </c>
      <c r="B63" s="12" t="n">
        <v>10</v>
      </c>
      <c r="C63" s="12" t="s">
        <v>1725</v>
      </c>
      <c r="D63" s="12" t="s">
        <v>1726</v>
      </c>
      <c r="E63" s="12"/>
      <c r="F63" s="12" t="s">
        <v>1727</v>
      </c>
      <c r="G63" s="12" t="s">
        <v>1728</v>
      </c>
      <c r="H63" s="12"/>
      <c r="I63" s="12"/>
    </row>
    <row r="64" customFormat="false" ht="15" hidden="false" customHeight="true" outlineLevel="0" collapsed="false">
      <c r="A64" s="12" t="s">
        <v>692</v>
      </c>
      <c r="B64" s="12" t="n">
        <v>1</v>
      </c>
      <c r="C64" s="12" t="s">
        <v>1729</v>
      </c>
      <c r="D64" s="12" t="s">
        <v>1730</v>
      </c>
      <c r="E64" s="12" t="s">
        <v>1731</v>
      </c>
      <c r="F64" s="12" t="s">
        <v>1732</v>
      </c>
      <c r="G64" s="12" t="s">
        <v>1733</v>
      </c>
      <c r="H64" s="12" t="s">
        <v>1734</v>
      </c>
      <c r="I64" s="12"/>
    </row>
    <row r="65" customFormat="false" ht="24" hidden="false" customHeight="true" outlineLevel="0" collapsed="false">
      <c r="A65" s="12" t="s">
        <v>692</v>
      </c>
      <c r="B65" s="12" t="n">
        <v>2</v>
      </c>
      <c r="C65" s="12" t="s">
        <v>1735</v>
      </c>
      <c r="D65" s="12" t="s">
        <v>1665</v>
      </c>
      <c r="E65" s="12"/>
      <c r="F65" s="12" t="s">
        <v>1736</v>
      </c>
      <c r="G65" s="12" t="s">
        <v>1546</v>
      </c>
      <c r="H65" s="12" t="s">
        <v>1737</v>
      </c>
      <c r="I65" s="12"/>
    </row>
    <row r="66" customFormat="false" ht="24" hidden="false" customHeight="true" outlineLevel="0" collapsed="false">
      <c r="A66" s="12" t="s">
        <v>692</v>
      </c>
      <c r="B66" s="12" t="n">
        <v>3</v>
      </c>
      <c r="C66" s="12" t="s">
        <v>1738</v>
      </c>
      <c r="D66" s="12" t="s">
        <v>1739</v>
      </c>
      <c r="E66" s="12"/>
      <c r="F66" s="12" t="s">
        <v>1740</v>
      </c>
      <c r="G66" s="12" t="s">
        <v>1741</v>
      </c>
      <c r="H66" s="12"/>
      <c r="I66" s="12"/>
    </row>
    <row r="67" customFormat="false" ht="24" hidden="false" customHeight="true" outlineLevel="0" collapsed="false">
      <c r="A67" s="12" t="s">
        <v>692</v>
      </c>
      <c r="B67" s="12" t="n">
        <v>4</v>
      </c>
      <c r="C67" s="12" t="s">
        <v>1742</v>
      </c>
      <c r="D67" s="12" t="s">
        <v>1743</v>
      </c>
      <c r="E67" s="12"/>
      <c r="F67" s="12" t="s">
        <v>1744</v>
      </c>
      <c r="G67" s="12" t="s">
        <v>1745</v>
      </c>
      <c r="H67" s="12" t="s">
        <v>1746</v>
      </c>
      <c r="I67" s="12"/>
    </row>
    <row r="68" customFormat="false" ht="24" hidden="false" customHeight="true" outlineLevel="0" collapsed="false">
      <c r="A68" s="12" t="s">
        <v>692</v>
      </c>
      <c r="B68" s="12" t="n">
        <v>5</v>
      </c>
      <c r="C68" s="12" t="s">
        <v>1747</v>
      </c>
      <c r="D68" s="12" t="s">
        <v>1748</v>
      </c>
      <c r="E68" s="12"/>
      <c r="F68" s="12" t="s">
        <v>1749</v>
      </c>
      <c r="G68" s="12" t="s">
        <v>1750</v>
      </c>
      <c r="H68" s="12"/>
      <c r="I68" s="12"/>
    </row>
    <row r="69" customFormat="false" ht="15" hidden="false" customHeight="true" outlineLevel="0" collapsed="false">
      <c r="A69" s="12" t="s">
        <v>692</v>
      </c>
      <c r="B69" s="12" t="n">
        <v>6</v>
      </c>
      <c r="C69" s="12" t="s">
        <v>1751</v>
      </c>
      <c r="D69" s="12" t="s">
        <v>1752</v>
      </c>
      <c r="E69" s="12"/>
      <c r="F69" s="12" t="s">
        <v>1753</v>
      </c>
      <c r="G69" s="12" t="s">
        <v>1645</v>
      </c>
      <c r="H69" s="12" t="s">
        <v>1754</v>
      </c>
      <c r="I69" s="12"/>
    </row>
    <row r="70" customFormat="false" ht="15" hidden="false" customHeight="true" outlineLevel="0" collapsed="false">
      <c r="A70" s="12" t="s">
        <v>692</v>
      </c>
      <c r="B70" s="12" t="n">
        <v>7</v>
      </c>
      <c r="C70" s="12" t="s">
        <v>1755</v>
      </c>
      <c r="D70" s="12" t="s">
        <v>1756</v>
      </c>
      <c r="E70" s="12"/>
      <c r="F70" s="12" t="s">
        <v>1757</v>
      </c>
      <c r="G70" s="12" t="s">
        <v>1758</v>
      </c>
      <c r="H70" s="12" t="s">
        <v>1759</v>
      </c>
      <c r="I70" s="12"/>
    </row>
    <row r="71" customFormat="false" ht="15" hidden="false" customHeight="true" outlineLevel="0" collapsed="false">
      <c r="A71" s="12" t="s">
        <v>692</v>
      </c>
      <c r="B71" s="12" t="n">
        <v>8</v>
      </c>
      <c r="C71" s="12" t="s">
        <v>1760</v>
      </c>
      <c r="D71" s="12" t="s">
        <v>1761</v>
      </c>
      <c r="E71" s="12"/>
      <c r="F71" s="12" t="s">
        <v>1762</v>
      </c>
      <c r="G71" s="12" t="s">
        <v>1763</v>
      </c>
      <c r="H71" s="12"/>
      <c r="I71" s="12"/>
    </row>
    <row r="72" customFormat="false" ht="15" hidden="false" customHeight="true" outlineLevel="0" collapsed="false">
      <c r="A72" s="12" t="s">
        <v>692</v>
      </c>
      <c r="B72" s="12" t="n">
        <v>9</v>
      </c>
      <c r="C72" s="12" t="s">
        <v>1764</v>
      </c>
      <c r="D72" s="12" t="s">
        <v>1544</v>
      </c>
      <c r="E72" s="12"/>
      <c r="F72" s="12" t="s">
        <v>1765</v>
      </c>
      <c r="G72" s="12" t="s">
        <v>1546</v>
      </c>
      <c r="H72" s="12"/>
      <c r="I72" s="12"/>
    </row>
    <row r="73" customFormat="false" ht="24" hidden="false" customHeight="true" outlineLevel="0" collapsed="false">
      <c r="A73" s="12" t="s">
        <v>692</v>
      </c>
      <c r="B73" s="12" t="n">
        <v>10</v>
      </c>
      <c r="C73" s="12" t="s">
        <v>1766</v>
      </c>
      <c r="D73" s="12" t="s">
        <v>1767</v>
      </c>
      <c r="E73" s="12"/>
      <c r="F73" s="12" t="s">
        <v>1768</v>
      </c>
      <c r="G73" s="12" t="s">
        <v>1769</v>
      </c>
      <c r="H73" s="12" t="s">
        <v>1770</v>
      </c>
      <c r="I73" s="12"/>
    </row>
    <row r="74" customFormat="false" ht="60" hidden="false" customHeight="true" outlineLevel="0" collapsed="false">
      <c r="A74" s="12" t="s">
        <v>692</v>
      </c>
      <c r="B74" s="12" t="n">
        <v>11</v>
      </c>
      <c r="C74" s="12" t="s">
        <v>1771</v>
      </c>
      <c r="D74" s="12" t="s">
        <v>1772</v>
      </c>
      <c r="E74" s="12"/>
      <c r="F74" s="12" t="s">
        <v>1773</v>
      </c>
      <c r="G74" s="12" t="s">
        <v>1774</v>
      </c>
      <c r="H74" s="12"/>
      <c r="I74" s="12" t="s">
        <v>1775</v>
      </c>
    </row>
    <row r="75" customFormat="false" ht="24" hidden="false" customHeight="true" outlineLevel="0" collapsed="false">
      <c r="A75" s="12" t="s">
        <v>697</v>
      </c>
      <c r="B75" s="12" t="n">
        <v>1</v>
      </c>
      <c r="C75" s="12" t="s">
        <v>1776</v>
      </c>
      <c r="D75" s="12" t="s">
        <v>1777</v>
      </c>
      <c r="E75" s="12"/>
      <c r="F75" s="12" t="s">
        <v>1778</v>
      </c>
      <c r="G75" s="12" t="s">
        <v>1779</v>
      </c>
      <c r="H75" s="12"/>
      <c r="I75" s="12"/>
    </row>
    <row r="76" customFormat="false" ht="24" hidden="false" customHeight="true" outlineLevel="0" collapsed="false">
      <c r="A76" s="12" t="s">
        <v>697</v>
      </c>
      <c r="B76" s="12" t="n">
        <v>2</v>
      </c>
      <c r="C76" s="12" t="s">
        <v>1780</v>
      </c>
      <c r="D76" s="12" t="s">
        <v>1781</v>
      </c>
      <c r="E76" s="12"/>
      <c r="F76" s="12" t="s">
        <v>1778</v>
      </c>
      <c r="G76" s="12" t="s">
        <v>1782</v>
      </c>
      <c r="H76" s="12"/>
      <c r="I76" s="12"/>
    </row>
    <row r="77" customFormat="false" ht="24" hidden="false" customHeight="true" outlineLevel="0" collapsed="false">
      <c r="A77" s="12" t="s">
        <v>697</v>
      </c>
      <c r="B77" s="12" t="n">
        <v>3</v>
      </c>
      <c r="C77" s="12" t="s">
        <v>1783</v>
      </c>
      <c r="D77" s="12" t="s">
        <v>1784</v>
      </c>
      <c r="E77" s="12"/>
      <c r="F77" s="12" t="s">
        <v>1785</v>
      </c>
      <c r="G77" s="12" t="s">
        <v>1786</v>
      </c>
      <c r="H77" s="12"/>
      <c r="I77" s="12"/>
    </row>
    <row r="78" customFormat="false" ht="24" hidden="false" customHeight="true" outlineLevel="0" collapsed="false">
      <c r="A78" s="12" t="s">
        <v>697</v>
      </c>
      <c r="B78" s="12" t="n">
        <v>4</v>
      </c>
      <c r="C78" s="12" t="s">
        <v>1787</v>
      </c>
      <c r="D78" s="12" t="s">
        <v>1788</v>
      </c>
      <c r="E78" s="12"/>
      <c r="F78" s="12" t="s">
        <v>1789</v>
      </c>
      <c r="G78" s="12" t="s">
        <v>1790</v>
      </c>
      <c r="H78" s="12"/>
      <c r="I78" s="12"/>
    </row>
    <row r="79" customFormat="false" ht="24" hidden="false" customHeight="true" outlineLevel="0" collapsed="false">
      <c r="A79" s="12" t="s">
        <v>697</v>
      </c>
      <c r="B79" s="12" t="n">
        <v>5</v>
      </c>
      <c r="C79" s="12" t="s">
        <v>1791</v>
      </c>
      <c r="D79" s="12" t="s">
        <v>1792</v>
      </c>
      <c r="E79" s="12"/>
      <c r="F79" s="12" t="s">
        <v>1789</v>
      </c>
      <c r="G79" s="12" t="s">
        <v>1793</v>
      </c>
      <c r="H79" s="12"/>
      <c r="I79" s="12"/>
    </row>
    <row r="80" customFormat="false" ht="24" hidden="false" customHeight="true" outlineLevel="0" collapsed="false">
      <c r="A80" s="12" t="s">
        <v>697</v>
      </c>
      <c r="B80" s="12" t="n">
        <v>6</v>
      </c>
      <c r="C80" s="12" t="s">
        <v>1794</v>
      </c>
      <c r="D80" s="12" t="s">
        <v>1795</v>
      </c>
      <c r="E80" s="12"/>
      <c r="F80" s="12" t="s">
        <v>1789</v>
      </c>
      <c r="G80" s="12" t="s">
        <v>1796</v>
      </c>
      <c r="H80" s="12" t="s">
        <v>1797</v>
      </c>
      <c r="I80" s="12"/>
    </row>
    <row r="81" customFormat="false" ht="15" hidden="false" customHeight="true" outlineLevel="0" collapsed="false">
      <c r="A81" s="12" t="s">
        <v>697</v>
      </c>
      <c r="B81" s="12" t="n">
        <v>7</v>
      </c>
      <c r="C81" s="12" t="s">
        <v>1682</v>
      </c>
      <c r="D81" s="12" t="s">
        <v>1544</v>
      </c>
      <c r="E81" s="12"/>
      <c r="F81" s="12" t="s">
        <v>1572</v>
      </c>
      <c r="G81" s="12" t="s">
        <v>1546</v>
      </c>
      <c r="H81" s="12"/>
      <c r="I81" s="12"/>
    </row>
    <row r="82" customFormat="false" ht="15" hidden="false" customHeight="true" outlineLevel="0" collapsed="false">
      <c r="A82" s="12" t="s">
        <v>697</v>
      </c>
      <c r="B82" s="12" t="n">
        <v>8</v>
      </c>
      <c r="C82" s="12" t="s">
        <v>1664</v>
      </c>
      <c r="D82" s="12" t="s">
        <v>1665</v>
      </c>
      <c r="E82" s="12"/>
      <c r="F82" s="12" t="s">
        <v>1798</v>
      </c>
      <c r="G82" s="12" t="s">
        <v>1667</v>
      </c>
      <c r="H82" s="12"/>
      <c r="I82" s="12"/>
    </row>
    <row r="83" customFormat="false" ht="24" hidden="false" customHeight="true" outlineLevel="0" collapsed="false">
      <c r="A83" s="12" t="s">
        <v>697</v>
      </c>
      <c r="B83" s="12" t="n">
        <v>9</v>
      </c>
      <c r="C83" s="12" t="s">
        <v>1799</v>
      </c>
      <c r="D83" s="12" t="s">
        <v>1800</v>
      </c>
      <c r="E83" s="12"/>
      <c r="F83" s="12" t="s">
        <v>1778</v>
      </c>
      <c r="G83" s="12" t="s">
        <v>1801</v>
      </c>
      <c r="H83" s="12"/>
      <c r="I83" s="12"/>
    </row>
    <row r="84" customFormat="false" ht="24" hidden="false" customHeight="true" outlineLevel="0" collapsed="false">
      <c r="A84" s="12" t="s">
        <v>697</v>
      </c>
      <c r="B84" s="12" t="n">
        <v>10</v>
      </c>
      <c r="C84" s="12" t="s">
        <v>1802</v>
      </c>
      <c r="D84" s="12" t="s">
        <v>1803</v>
      </c>
      <c r="E84" s="12"/>
      <c r="F84" s="12" t="s">
        <v>1690</v>
      </c>
      <c r="G84" s="12" t="s">
        <v>1804</v>
      </c>
      <c r="H84" s="12"/>
      <c r="I84" s="12"/>
    </row>
    <row r="85" customFormat="false" ht="24" hidden="false" customHeight="true" outlineLevel="0" collapsed="false">
      <c r="A85" s="12" t="s">
        <v>699</v>
      </c>
      <c r="B85" s="12" t="n">
        <v>1</v>
      </c>
      <c r="C85" s="12" t="s">
        <v>1805</v>
      </c>
      <c r="D85" s="12" t="s">
        <v>1806</v>
      </c>
      <c r="E85" s="12"/>
      <c r="F85" s="12" t="s">
        <v>1807</v>
      </c>
      <c r="G85" s="12" t="s">
        <v>1694</v>
      </c>
      <c r="H85" s="12"/>
      <c r="I85" s="12"/>
    </row>
    <row r="86" customFormat="false" ht="15" hidden="false" customHeight="true" outlineLevel="0" collapsed="false">
      <c r="A86" s="12" t="s">
        <v>699</v>
      </c>
      <c r="B86" s="12" t="n">
        <v>2</v>
      </c>
      <c r="C86" s="12" t="s">
        <v>1808</v>
      </c>
      <c r="D86" s="12" t="s">
        <v>1809</v>
      </c>
      <c r="E86" s="12"/>
      <c r="F86" s="12" t="s">
        <v>1810</v>
      </c>
      <c r="G86" s="12" t="s">
        <v>1811</v>
      </c>
      <c r="H86" s="12"/>
      <c r="I86" s="12"/>
    </row>
    <row r="87" customFormat="false" ht="24" hidden="false" customHeight="true" outlineLevel="0" collapsed="false">
      <c r="A87" s="12" t="s">
        <v>699</v>
      </c>
      <c r="B87" s="12" t="n">
        <v>3</v>
      </c>
      <c r="C87" s="12" t="s">
        <v>1812</v>
      </c>
      <c r="D87" s="12" t="s">
        <v>1813</v>
      </c>
      <c r="E87" s="12"/>
      <c r="F87" s="12" t="s">
        <v>1814</v>
      </c>
      <c r="G87" s="12" t="s">
        <v>1815</v>
      </c>
      <c r="H87" s="12" t="s">
        <v>1816</v>
      </c>
      <c r="I87" s="12"/>
    </row>
    <row r="88" customFormat="false" ht="24" hidden="false" customHeight="true" outlineLevel="0" collapsed="false">
      <c r="A88" s="12" t="s">
        <v>699</v>
      </c>
      <c r="B88" s="12" t="n">
        <v>4</v>
      </c>
      <c r="C88" s="12" t="s">
        <v>1817</v>
      </c>
      <c r="D88" s="12" t="s">
        <v>1818</v>
      </c>
      <c r="E88" s="12"/>
      <c r="F88" s="12" t="s">
        <v>1819</v>
      </c>
      <c r="G88" s="12" t="s">
        <v>1820</v>
      </c>
      <c r="H88" s="12" t="s">
        <v>1821</v>
      </c>
      <c r="I88" s="12"/>
    </row>
    <row r="89" customFormat="false" ht="24" hidden="false" customHeight="true" outlineLevel="0" collapsed="false">
      <c r="A89" s="12" t="s">
        <v>699</v>
      </c>
      <c r="B89" s="12" t="n">
        <v>5</v>
      </c>
      <c r="C89" s="12" t="s">
        <v>1822</v>
      </c>
      <c r="D89" s="12" t="s">
        <v>1823</v>
      </c>
      <c r="E89" s="12"/>
      <c r="F89" s="12" t="s">
        <v>1824</v>
      </c>
      <c r="G89" s="12" t="s">
        <v>1825</v>
      </c>
      <c r="H89" s="12"/>
      <c r="I89" s="12"/>
    </row>
    <row r="90" customFormat="false" ht="24" hidden="false" customHeight="true" outlineLevel="0" collapsed="false">
      <c r="A90" s="12" t="s">
        <v>699</v>
      </c>
      <c r="B90" s="12" t="n">
        <v>6</v>
      </c>
      <c r="C90" s="12" t="s">
        <v>1826</v>
      </c>
      <c r="D90" s="12" t="s">
        <v>1827</v>
      </c>
      <c r="E90" s="12"/>
      <c r="F90" s="12" t="s">
        <v>1710</v>
      </c>
      <c r="G90" s="12" t="s">
        <v>1718</v>
      </c>
      <c r="H90" s="12" t="s">
        <v>1754</v>
      </c>
      <c r="I90" s="12"/>
    </row>
    <row r="91" customFormat="false" ht="24" hidden="false" customHeight="true" outlineLevel="0" collapsed="false">
      <c r="A91" s="12" t="s">
        <v>699</v>
      </c>
      <c r="B91" s="12" t="n">
        <v>7</v>
      </c>
      <c r="C91" s="12" t="s">
        <v>1828</v>
      </c>
      <c r="D91" s="12" t="s">
        <v>1829</v>
      </c>
      <c r="E91" s="12"/>
      <c r="F91" s="12" t="s">
        <v>1830</v>
      </c>
      <c r="G91" s="12" t="s">
        <v>1722</v>
      </c>
      <c r="H91" s="12"/>
      <c r="I91" s="12"/>
    </row>
    <row r="92" customFormat="false" ht="24" hidden="false" customHeight="true" outlineLevel="0" collapsed="false">
      <c r="A92" s="12" t="s">
        <v>699</v>
      </c>
      <c r="B92" s="12" t="n">
        <v>8</v>
      </c>
      <c r="C92" s="12" t="s">
        <v>1831</v>
      </c>
      <c r="D92" s="12" t="s">
        <v>1832</v>
      </c>
      <c r="E92" s="12"/>
      <c r="F92" s="12" t="s">
        <v>1762</v>
      </c>
      <c r="G92" s="12" t="s">
        <v>1763</v>
      </c>
      <c r="H92" s="12"/>
      <c r="I92" s="12"/>
    </row>
    <row r="93" customFormat="false" ht="15" hidden="false" customHeight="true" outlineLevel="0" collapsed="false">
      <c r="A93" s="12" t="s">
        <v>699</v>
      </c>
      <c r="B93" s="12" t="n">
        <v>9</v>
      </c>
      <c r="C93" s="12" t="s">
        <v>1833</v>
      </c>
      <c r="D93" s="12" t="s">
        <v>1544</v>
      </c>
      <c r="E93" s="12"/>
      <c r="F93" s="12" t="s">
        <v>1834</v>
      </c>
      <c r="G93" s="12" t="s">
        <v>1546</v>
      </c>
      <c r="H93" s="12"/>
      <c r="I93" s="12"/>
    </row>
    <row r="94" customFormat="false" ht="24" hidden="false" customHeight="true" outlineLevel="0" collapsed="false">
      <c r="A94" s="12" t="s">
        <v>699</v>
      </c>
      <c r="B94" s="12" t="n">
        <v>10</v>
      </c>
      <c r="C94" s="12" t="s">
        <v>1835</v>
      </c>
      <c r="D94" s="12" t="s">
        <v>1836</v>
      </c>
      <c r="E94" s="12"/>
      <c r="F94" s="12" t="s">
        <v>1837</v>
      </c>
      <c r="G94" s="12" t="s">
        <v>1838</v>
      </c>
      <c r="H94" s="12" t="s">
        <v>1839</v>
      </c>
      <c r="I94" s="12"/>
    </row>
    <row r="95" customFormat="false" ht="24" hidden="false" customHeight="true" outlineLevel="0" collapsed="false">
      <c r="A95" s="12" t="s">
        <v>705</v>
      </c>
      <c r="B95" s="12" t="n">
        <v>1</v>
      </c>
      <c r="C95" s="12" t="s">
        <v>1840</v>
      </c>
      <c r="D95" s="12" t="s">
        <v>1841</v>
      </c>
      <c r="E95" s="12"/>
      <c r="F95" s="12" t="s">
        <v>1842</v>
      </c>
      <c r="G95" s="12" t="s">
        <v>1733</v>
      </c>
      <c r="H95" s="12" t="s">
        <v>1734</v>
      </c>
      <c r="I95" s="12"/>
    </row>
    <row r="96" customFormat="false" ht="24" hidden="false" customHeight="true" outlineLevel="0" collapsed="false">
      <c r="A96" s="12" t="s">
        <v>705</v>
      </c>
      <c r="B96" s="12" t="n">
        <v>2</v>
      </c>
      <c r="C96" s="12" t="s">
        <v>1843</v>
      </c>
      <c r="D96" s="12" t="s">
        <v>1844</v>
      </c>
      <c r="E96" s="12"/>
      <c r="F96" s="12" t="s">
        <v>1845</v>
      </c>
      <c r="G96" s="12" t="s">
        <v>1846</v>
      </c>
      <c r="H96" s="12" t="s">
        <v>1847</v>
      </c>
      <c r="I96" s="12"/>
    </row>
    <row r="97" customFormat="false" ht="15" hidden="false" customHeight="true" outlineLevel="0" collapsed="false">
      <c r="A97" s="12" t="s">
        <v>705</v>
      </c>
      <c r="B97" s="12" t="n">
        <v>3</v>
      </c>
      <c r="C97" s="12" t="s">
        <v>1848</v>
      </c>
      <c r="D97" s="12" t="s">
        <v>1849</v>
      </c>
      <c r="E97" s="12"/>
      <c r="F97" s="12" t="s">
        <v>1850</v>
      </c>
      <c r="G97" s="12" t="s">
        <v>1851</v>
      </c>
      <c r="H97" s="12" t="s">
        <v>1852</v>
      </c>
      <c r="I97" s="12"/>
    </row>
    <row r="98" customFormat="false" ht="24" hidden="false" customHeight="true" outlineLevel="0" collapsed="false">
      <c r="A98" s="12" t="s">
        <v>705</v>
      </c>
      <c r="B98" s="12" t="n">
        <v>4</v>
      </c>
      <c r="C98" s="12" t="s">
        <v>1853</v>
      </c>
      <c r="D98" s="12" t="s">
        <v>1854</v>
      </c>
      <c r="E98" s="12"/>
      <c r="F98" s="12" t="s">
        <v>1855</v>
      </c>
      <c r="G98" s="12" t="s">
        <v>1856</v>
      </c>
      <c r="H98" s="12"/>
      <c r="I98" s="12"/>
    </row>
    <row r="99" customFormat="false" ht="24" hidden="false" customHeight="true" outlineLevel="0" collapsed="false">
      <c r="A99" s="12" t="s">
        <v>705</v>
      </c>
      <c r="B99" s="12" t="n">
        <v>5</v>
      </c>
      <c r="C99" s="12" t="s">
        <v>1857</v>
      </c>
      <c r="D99" s="12" t="s">
        <v>1858</v>
      </c>
      <c r="E99" s="12"/>
      <c r="F99" s="12" t="s">
        <v>1859</v>
      </c>
      <c r="G99" s="12" t="s">
        <v>1654</v>
      </c>
      <c r="H99" s="12" t="s">
        <v>1860</v>
      </c>
      <c r="I99" s="12"/>
    </row>
    <row r="100" customFormat="false" ht="24" hidden="false" customHeight="true" outlineLevel="0" collapsed="false">
      <c r="A100" s="12" t="s">
        <v>705</v>
      </c>
      <c r="B100" s="12" t="n">
        <v>6</v>
      </c>
      <c r="C100" s="12" t="s">
        <v>1861</v>
      </c>
      <c r="D100" s="12" t="s">
        <v>1665</v>
      </c>
      <c r="E100" s="12"/>
      <c r="F100" s="12" t="s">
        <v>1862</v>
      </c>
      <c r="G100" s="12" t="s">
        <v>1546</v>
      </c>
      <c r="H100" s="12" t="s">
        <v>1737</v>
      </c>
      <c r="I100" s="12"/>
    </row>
    <row r="101" customFormat="false" ht="24" hidden="false" customHeight="true" outlineLevel="0" collapsed="false">
      <c r="A101" s="12" t="s">
        <v>705</v>
      </c>
      <c r="B101" s="12" t="n">
        <v>7</v>
      </c>
      <c r="C101" s="12" t="s">
        <v>1760</v>
      </c>
      <c r="D101" s="12" t="s">
        <v>1863</v>
      </c>
      <c r="E101" s="12"/>
      <c r="F101" s="12" t="s">
        <v>1762</v>
      </c>
      <c r="G101" s="12" t="s">
        <v>1763</v>
      </c>
      <c r="H101" s="12"/>
      <c r="I101" s="12"/>
    </row>
    <row r="102" customFormat="false" ht="15" hidden="false" customHeight="true" outlineLevel="0" collapsed="false">
      <c r="A102" s="12" t="s">
        <v>705</v>
      </c>
      <c r="B102" s="12" t="n">
        <v>8</v>
      </c>
      <c r="C102" s="12" t="s">
        <v>1764</v>
      </c>
      <c r="D102" s="12" t="s">
        <v>1544</v>
      </c>
      <c r="E102" s="12"/>
      <c r="F102" s="12" t="s">
        <v>1864</v>
      </c>
      <c r="G102" s="12" t="s">
        <v>1546</v>
      </c>
      <c r="H102" s="12"/>
      <c r="I102" s="12"/>
    </row>
    <row r="103" customFormat="false" ht="24" hidden="false" customHeight="true" outlineLevel="0" collapsed="false">
      <c r="A103" s="12" t="s">
        <v>705</v>
      </c>
      <c r="B103" s="12" t="n">
        <v>9</v>
      </c>
      <c r="C103" s="12" t="s">
        <v>1865</v>
      </c>
      <c r="D103" s="12" t="s">
        <v>1866</v>
      </c>
      <c r="E103" s="12"/>
      <c r="F103" s="12" t="s">
        <v>1867</v>
      </c>
      <c r="G103" s="12" t="s">
        <v>1868</v>
      </c>
      <c r="H103" s="12" t="s">
        <v>1646</v>
      </c>
      <c r="I103" s="12"/>
    </row>
    <row r="104" customFormat="false" ht="24" hidden="false" customHeight="true" outlineLevel="0" collapsed="false">
      <c r="A104" s="12" t="s">
        <v>705</v>
      </c>
      <c r="B104" s="12" t="n">
        <v>10</v>
      </c>
      <c r="C104" s="12" t="s">
        <v>1869</v>
      </c>
      <c r="D104" s="12" t="s">
        <v>1870</v>
      </c>
      <c r="E104" s="12"/>
      <c r="F104" s="12" t="s">
        <v>1871</v>
      </c>
      <c r="G104" s="12" t="s">
        <v>1872</v>
      </c>
      <c r="H104" s="12" t="s">
        <v>1873</v>
      </c>
      <c r="I104" s="12"/>
    </row>
    <row r="105" customFormat="false" ht="24" hidden="false" customHeight="true" outlineLevel="0" collapsed="false">
      <c r="A105" s="12" t="s">
        <v>710</v>
      </c>
      <c r="B105" s="12" t="n">
        <v>1</v>
      </c>
      <c r="C105" s="12" t="s">
        <v>1874</v>
      </c>
      <c r="D105" s="12" t="s">
        <v>1875</v>
      </c>
      <c r="E105" s="12"/>
      <c r="F105" s="12" t="s">
        <v>1876</v>
      </c>
      <c r="G105" s="12" t="s">
        <v>1877</v>
      </c>
      <c r="H105" s="12"/>
      <c r="I105" s="12"/>
    </row>
    <row r="106" customFormat="false" ht="24" hidden="false" customHeight="true" outlineLevel="0" collapsed="false">
      <c r="A106" s="12" t="s">
        <v>710</v>
      </c>
      <c r="B106" s="12" t="n">
        <v>2</v>
      </c>
      <c r="C106" s="12" t="s">
        <v>1878</v>
      </c>
      <c r="D106" s="12" t="s">
        <v>1879</v>
      </c>
      <c r="E106" s="12"/>
      <c r="F106" s="12" t="s">
        <v>1876</v>
      </c>
      <c r="G106" s="12" t="s">
        <v>1667</v>
      </c>
      <c r="H106" s="12" t="s">
        <v>1852</v>
      </c>
      <c r="I106" s="12"/>
    </row>
    <row r="107" customFormat="false" ht="24" hidden="false" customHeight="true" outlineLevel="0" collapsed="false">
      <c r="A107" s="12" t="s">
        <v>710</v>
      </c>
      <c r="B107" s="12" t="n">
        <v>3</v>
      </c>
      <c r="C107" s="12" t="s">
        <v>1880</v>
      </c>
      <c r="D107" s="12" t="s">
        <v>1844</v>
      </c>
      <c r="E107" s="12"/>
      <c r="F107" s="12" t="s">
        <v>1876</v>
      </c>
      <c r="G107" s="12" t="s">
        <v>1881</v>
      </c>
      <c r="H107" s="12"/>
      <c r="I107" s="12"/>
    </row>
    <row r="108" customFormat="false" ht="15" hidden="false" customHeight="true" outlineLevel="0" collapsed="false">
      <c r="A108" s="12" t="s">
        <v>710</v>
      </c>
      <c r="B108" s="12" t="n">
        <v>4</v>
      </c>
      <c r="C108" s="12" t="s">
        <v>1882</v>
      </c>
      <c r="D108" s="12" t="s">
        <v>1883</v>
      </c>
      <c r="E108" s="12"/>
      <c r="F108" s="12" t="s">
        <v>1876</v>
      </c>
      <c r="G108" s="12" t="s">
        <v>1884</v>
      </c>
      <c r="H108" s="12"/>
      <c r="I108" s="12"/>
    </row>
    <row r="109" customFormat="false" ht="15" hidden="false" customHeight="true" outlineLevel="0" collapsed="false">
      <c r="A109" s="12" t="s">
        <v>710</v>
      </c>
      <c r="B109" s="12" t="n">
        <v>5</v>
      </c>
      <c r="C109" s="12" t="s">
        <v>1885</v>
      </c>
      <c r="D109" s="12" t="s">
        <v>1886</v>
      </c>
      <c r="E109" s="12"/>
      <c r="F109" s="12" t="s">
        <v>1876</v>
      </c>
      <c r="G109" s="12" t="s">
        <v>1887</v>
      </c>
      <c r="H109" s="12" t="s">
        <v>1888</v>
      </c>
      <c r="I109" s="12"/>
    </row>
    <row r="110" customFormat="false" ht="15" hidden="false" customHeight="true" outlineLevel="0" collapsed="false">
      <c r="A110" s="12" t="s">
        <v>710</v>
      </c>
      <c r="B110" s="12" t="n">
        <v>6</v>
      </c>
      <c r="C110" s="12" t="s">
        <v>1889</v>
      </c>
      <c r="D110" s="12" t="s">
        <v>1665</v>
      </c>
      <c r="E110" s="12"/>
      <c r="F110" s="12" t="s">
        <v>1890</v>
      </c>
      <c r="G110" s="12" t="s">
        <v>1891</v>
      </c>
      <c r="H110" s="12"/>
      <c r="I110" s="12"/>
    </row>
    <row r="111" customFormat="false" ht="15" hidden="false" customHeight="true" outlineLevel="0" collapsed="false">
      <c r="A111" s="12" t="s">
        <v>710</v>
      </c>
      <c r="B111" s="12" t="n">
        <v>7</v>
      </c>
      <c r="C111" s="12" t="s">
        <v>1682</v>
      </c>
      <c r="D111" s="12" t="s">
        <v>1544</v>
      </c>
      <c r="E111" s="12"/>
      <c r="F111" s="12" t="s">
        <v>1892</v>
      </c>
      <c r="G111" s="12" t="s">
        <v>1546</v>
      </c>
      <c r="H111" s="12"/>
      <c r="I111" s="12"/>
    </row>
    <row r="112" customFormat="false" ht="24" hidden="false" customHeight="true" outlineLevel="0" collapsed="false">
      <c r="A112" s="12" t="s">
        <v>710</v>
      </c>
      <c r="B112" s="12" t="n">
        <v>8</v>
      </c>
      <c r="C112" s="12" t="s">
        <v>1893</v>
      </c>
      <c r="D112" s="12" t="s">
        <v>1894</v>
      </c>
      <c r="E112" s="12"/>
      <c r="F112" s="12" t="s">
        <v>1690</v>
      </c>
      <c r="G112" s="12" t="s">
        <v>1895</v>
      </c>
      <c r="H112" s="12"/>
      <c r="I112" s="12"/>
    </row>
    <row r="113" customFormat="false" ht="24" hidden="false" customHeight="true" outlineLevel="0" collapsed="false">
      <c r="A113" s="12" t="s">
        <v>710</v>
      </c>
      <c r="B113" s="12" t="n">
        <v>9</v>
      </c>
      <c r="C113" s="12" t="s">
        <v>1896</v>
      </c>
      <c r="D113" s="12" t="s">
        <v>1897</v>
      </c>
      <c r="E113" s="12"/>
      <c r="F113" s="12" t="s">
        <v>1898</v>
      </c>
      <c r="G113" s="12" t="s">
        <v>1899</v>
      </c>
      <c r="H113" s="12"/>
      <c r="I113" s="12"/>
    </row>
    <row r="114" customFormat="false" ht="24" hidden="false" customHeight="true" outlineLevel="0" collapsed="false">
      <c r="A114" s="12" t="s">
        <v>710</v>
      </c>
      <c r="B114" s="12" t="n">
        <v>10</v>
      </c>
      <c r="C114" s="12" t="s">
        <v>1900</v>
      </c>
      <c r="D114" s="12" t="s">
        <v>1901</v>
      </c>
      <c r="E114" s="12"/>
      <c r="F114" s="12" t="s">
        <v>1876</v>
      </c>
      <c r="G114" s="12" t="s">
        <v>1902</v>
      </c>
      <c r="H114" s="12"/>
      <c r="I114" s="12"/>
    </row>
    <row r="115" customFormat="false" ht="24" hidden="false" customHeight="true" outlineLevel="0" collapsed="false">
      <c r="A115" s="12" t="s">
        <v>712</v>
      </c>
      <c r="B115" s="12" t="n">
        <v>1</v>
      </c>
      <c r="C115" s="12" t="s">
        <v>1903</v>
      </c>
      <c r="D115" s="12" t="s">
        <v>1904</v>
      </c>
      <c r="E115" s="12"/>
      <c r="F115" s="12" t="s">
        <v>1905</v>
      </c>
      <c r="G115" s="12" t="s">
        <v>1906</v>
      </c>
      <c r="H115" s="12"/>
      <c r="I115" s="12"/>
    </row>
    <row r="116" customFormat="false" ht="24" hidden="false" customHeight="true" outlineLevel="0" collapsed="false">
      <c r="A116" s="12" t="s">
        <v>712</v>
      </c>
      <c r="B116" s="12" t="n">
        <v>2</v>
      </c>
      <c r="C116" s="12" t="s">
        <v>1907</v>
      </c>
      <c r="D116" s="12" t="s">
        <v>1908</v>
      </c>
      <c r="E116" s="12"/>
      <c r="F116" s="12" t="s">
        <v>1909</v>
      </c>
      <c r="G116" s="12" t="s">
        <v>1910</v>
      </c>
      <c r="H116" s="12"/>
      <c r="I116" s="12"/>
    </row>
    <row r="117" customFormat="false" ht="24" hidden="false" customHeight="true" outlineLevel="0" collapsed="false">
      <c r="A117" s="12" t="s">
        <v>712</v>
      </c>
      <c r="B117" s="12" t="n">
        <v>3</v>
      </c>
      <c r="C117" s="12" t="s">
        <v>1911</v>
      </c>
      <c r="D117" s="12" t="s">
        <v>1912</v>
      </c>
      <c r="E117" s="12"/>
      <c r="F117" s="12" t="s">
        <v>1710</v>
      </c>
      <c r="G117" s="12" t="s">
        <v>1913</v>
      </c>
      <c r="H117" s="12"/>
      <c r="I117" s="12"/>
    </row>
    <row r="118" customFormat="false" ht="24" hidden="false" customHeight="true" outlineLevel="0" collapsed="false">
      <c r="A118" s="12" t="s">
        <v>712</v>
      </c>
      <c r="B118" s="12" t="n">
        <v>4</v>
      </c>
      <c r="C118" s="12" t="s">
        <v>1914</v>
      </c>
      <c r="D118" s="12" t="s">
        <v>1879</v>
      </c>
      <c r="E118" s="12"/>
      <c r="F118" s="12" t="s">
        <v>1915</v>
      </c>
      <c r="G118" s="12" t="s">
        <v>1546</v>
      </c>
      <c r="H118" s="12" t="s">
        <v>1916</v>
      </c>
      <c r="I118" s="12"/>
    </row>
    <row r="119" customFormat="false" ht="24" hidden="false" customHeight="true" outlineLevel="0" collapsed="false">
      <c r="A119" s="12" t="s">
        <v>712</v>
      </c>
      <c r="B119" s="12" t="n">
        <v>5</v>
      </c>
      <c r="C119" s="12" t="s">
        <v>1719</v>
      </c>
      <c r="D119" s="12" t="s">
        <v>1917</v>
      </c>
      <c r="E119" s="12"/>
      <c r="F119" s="12" t="s">
        <v>1721</v>
      </c>
      <c r="G119" s="12" t="s">
        <v>1918</v>
      </c>
      <c r="H119" s="12"/>
      <c r="I119" s="12"/>
    </row>
    <row r="120" customFormat="false" ht="24" hidden="false" customHeight="true" outlineLevel="0" collapsed="false">
      <c r="A120" s="12" t="s">
        <v>712</v>
      </c>
      <c r="B120" s="12" t="n">
        <v>6</v>
      </c>
      <c r="C120" s="12" t="s">
        <v>1919</v>
      </c>
      <c r="D120" s="12" t="s">
        <v>1912</v>
      </c>
      <c r="E120" s="12"/>
      <c r="F120" s="12" t="s">
        <v>1762</v>
      </c>
      <c r="G120" s="12" t="s">
        <v>1763</v>
      </c>
      <c r="H120" s="12"/>
      <c r="I120" s="12"/>
    </row>
    <row r="121" customFormat="false" ht="15" hidden="false" customHeight="true" outlineLevel="0" collapsed="false">
      <c r="A121" s="12" t="s">
        <v>712</v>
      </c>
      <c r="B121" s="12" t="n">
        <v>7</v>
      </c>
      <c r="C121" s="12" t="s">
        <v>1920</v>
      </c>
      <c r="D121" s="12" t="s">
        <v>1544</v>
      </c>
      <c r="E121" s="12"/>
      <c r="F121" s="12" t="s">
        <v>1921</v>
      </c>
      <c r="G121" s="12" t="s">
        <v>1546</v>
      </c>
      <c r="H121" s="12"/>
      <c r="I121" s="12"/>
    </row>
    <row r="122" customFormat="false" ht="24" hidden="false" customHeight="true" outlineLevel="0" collapsed="false">
      <c r="A122" s="12" t="s">
        <v>712</v>
      </c>
      <c r="B122" s="12" t="n">
        <v>8</v>
      </c>
      <c r="C122" s="12" t="s">
        <v>1922</v>
      </c>
      <c r="D122" s="12" t="s">
        <v>1923</v>
      </c>
      <c r="E122" s="12"/>
      <c r="F122" s="12" t="s">
        <v>1710</v>
      </c>
      <c r="G122" s="12" t="s">
        <v>1718</v>
      </c>
      <c r="H122" s="12" t="s">
        <v>1924</v>
      </c>
      <c r="I122" s="12"/>
    </row>
    <row r="123" customFormat="false" ht="24" hidden="false" customHeight="true" outlineLevel="0" collapsed="false">
      <c r="A123" s="12" t="s">
        <v>712</v>
      </c>
      <c r="B123" s="12" t="n">
        <v>9</v>
      </c>
      <c r="C123" s="12" t="s">
        <v>1925</v>
      </c>
      <c r="D123" s="12" t="s">
        <v>1926</v>
      </c>
      <c r="E123" s="12"/>
      <c r="F123" s="12" t="s">
        <v>1837</v>
      </c>
      <c r="G123" s="12" t="s">
        <v>1927</v>
      </c>
      <c r="H123" s="12"/>
      <c r="I123" s="12"/>
    </row>
    <row r="124" customFormat="false" ht="15" hidden="false" customHeight="true" outlineLevel="0" collapsed="false">
      <c r="A124" s="12" t="s">
        <v>712</v>
      </c>
      <c r="B124" s="12" t="n">
        <v>10</v>
      </c>
      <c r="C124" s="12" t="s">
        <v>1723</v>
      </c>
      <c r="D124" s="12" t="s">
        <v>1665</v>
      </c>
      <c r="E124" s="12"/>
      <c r="F124" s="12" t="s">
        <v>1928</v>
      </c>
      <c r="G124" s="12" t="s">
        <v>1546</v>
      </c>
      <c r="H124" s="12"/>
      <c r="I124" s="12"/>
    </row>
    <row r="125" customFormat="false" ht="15" hidden="false" customHeight="true" outlineLevel="0" collapsed="false">
      <c r="A125" s="12" t="s">
        <v>714</v>
      </c>
      <c r="B125" s="12" t="n">
        <v>1</v>
      </c>
      <c r="C125" s="12" t="s">
        <v>1929</v>
      </c>
      <c r="D125" s="12" t="s">
        <v>1930</v>
      </c>
      <c r="E125" s="12"/>
      <c r="F125" s="12" t="s">
        <v>1931</v>
      </c>
      <c r="G125" s="12" t="s">
        <v>1932</v>
      </c>
      <c r="H125" s="12"/>
      <c r="I125" s="12"/>
    </row>
    <row r="126" customFormat="false" ht="24" hidden="false" customHeight="true" outlineLevel="0" collapsed="false">
      <c r="A126" s="12" t="s">
        <v>714</v>
      </c>
      <c r="B126" s="12" t="n">
        <v>2</v>
      </c>
      <c r="C126" s="12" t="s">
        <v>1933</v>
      </c>
      <c r="D126" s="12" t="s">
        <v>1934</v>
      </c>
      <c r="E126" s="12"/>
      <c r="F126" s="12" t="s">
        <v>1935</v>
      </c>
      <c r="G126" s="12" t="s">
        <v>1936</v>
      </c>
      <c r="H126" s="12"/>
      <c r="I126" s="12"/>
    </row>
    <row r="127" customFormat="false" ht="24" hidden="false" customHeight="true" outlineLevel="0" collapsed="false">
      <c r="A127" s="12" t="s">
        <v>714</v>
      </c>
      <c r="B127" s="12" t="n">
        <v>3</v>
      </c>
      <c r="C127" s="12" t="s">
        <v>1937</v>
      </c>
      <c r="D127" s="12" t="s">
        <v>1938</v>
      </c>
      <c r="E127" s="12"/>
      <c r="F127" s="12" t="s">
        <v>1939</v>
      </c>
      <c r="G127" s="12" t="s">
        <v>1940</v>
      </c>
      <c r="H127" s="12"/>
      <c r="I127" s="12"/>
    </row>
    <row r="128" customFormat="false" ht="24" hidden="false" customHeight="true" outlineLevel="0" collapsed="false">
      <c r="A128" s="12" t="s">
        <v>714</v>
      </c>
      <c r="B128" s="12" t="n">
        <v>4</v>
      </c>
      <c r="C128" s="12" t="s">
        <v>1941</v>
      </c>
      <c r="D128" s="12" t="s">
        <v>1942</v>
      </c>
      <c r="E128" s="12"/>
      <c r="F128" s="12" t="s">
        <v>1943</v>
      </c>
      <c r="G128" s="12" t="s">
        <v>1944</v>
      </c>
      <c r="H128" s="12"/>
      <c r="I128" s="12"/>
    </row>
    <row r="129" customFormat="false" ht="24" hidden="false" customHeight="true" outlineLevel="0" collapsed="false">
      <c r="A129" s="12" t="s">
        <v>714</v>
      </c>
      <c r="B129" s="12" t="n">
        <v>5</v>
      </c>
      <c r="C129" s="12" t="s">
        <v>1945</v>
      </c>
      <c r="D129" s="12" t="s">
        <v>1879</v>
      </c>
      <c r="E129" s="12"/>
      <c r="F129" s="12" t="s">
        <v>1946</v>
      </c>
      <c r="G129" s="12" t="s">
        <v>1947</v>
      </c>
      <c r="H129" s="12"/>
      <c r="I129" s="12"/>
    </row>
    <row r="130" customFormat="false" ht="24" hidden="false" customHeight="true" outlineLevel="0" collapsed="false">
      <c r="A130" s="12" t="s">
        <v>714</v>
      </c>
      <c r="B130" s="12" t="n">
        <v>6</v>
      </c>
      <c r="C130" s="12" t="s">
        <v>1948</v>
      </c>
      <c r="D130" s="12" t="s">
        <v>1942</v>
      </c>
      <c r="E130" s="12"/>
      <c r="F130" s="12" t="s">
        <v>1876</v>
      </c>
      <c r="G130" s="12" t="s">
        <v>1949</v>
      </c>
      <c r="H130" s="12"/>
      <c r="I130" s="12"/>
    </row>
    <row r="131" customFormat="false" ht="24" hidden="false" customHeight="true" outlineLevel="0" collapsed="false">
      <c r="A131" s="12" t="s">
        <v>714</v>
      </c>
      <c r="B131" s="12" t="n">
        <v>7</v>
      </c>
      <c r="C131" s="12" t="s">
        <v>1950</v>
      </c>
      <c r="D131" s="12" t="s">
        <v>1942</v>
      </c>
      <c r="E131" s="12"/>
      <c r="F131" s="12" t="s">
        <v>1951</v>
      </c>
      <c r="G131" s="12" t="s">
        <v>1952</v>
      </c>
      <c r="H131" s="12"/>
      <c r="I131" s="12"/>
    </row>
    <row r="132" customFormat="false" ht="15" hidden="false" customHeight="true" outlineLevel="0" collapsed="false">
      <c r="A132" s="12" t="s">
        <v>714</v>
      </c>
      <c r="B132" s="12" t="n">
        <v>8</v>
      </c>
      <c r="C132" s="12" t="s">
        <v>1953</v>
      </c>
      <c r="D132" s="12" t="s">
        <v>1544</v>
      </c>
      <c r="E132" s="12"/>
      <c r="F132" s="12" t="s">
        <v>1954</v>
      </c>
      <c r="G132" s="12" t="s">
        <v>1546</v>
      </c>
      <c r="H132" s="12"/>
      <c r="I132" s="12"/>
    </row>
    <row r="133" customFormat="false" ht="24" hidden="false" customHeight="true" outlineLevel="0" collapsed="false">
      <c r="A133" s="12" t="s">
        <v>714</v>
      </c>
      <c r="B133" s="12" t="n">
        <v>9</v>
      </c>
      <c r="C133" s="12" t="s">
        <v>1955</v>
      </c>
      <c r="D133" s="12" t="s">
        <v>1956</v>
      </c>
      <c r="E133" s="12"/>
      <c r="F133" s="12" t="s">
        <v>1837</v>
      </c>
      <c r="G133" s="12" t="s">
        <v>1927</v>
      </c>
      <c r="H133" s="12"/>
      <c r="I133" s="12"/>
    </row>
    <row r="134" customFormat="false" ht="15" hidden="false" customHeight="true" outlineLevel="0" collapsed="false">
      <c r="A134" s="12" t="s">
        <v>714</v>
      </c>
      <c r="B134" s="12" t="n">
        <v>10</v>
      </c>
      <c r="C134" s="12" t="s">
        <v>1957</v>
      </c>
      <c r="D134" s="12" t="s">
        <v>1665</v>
      </c>
      <c r="E134" s="12"/>
      <c r="F134" s="12" t="s">
        <v>1958</v>
      </c>
      <c r="G134" s="12" t="s">
        <v>1546</v>
      </c>
      <c r="H134" s="12"/>
      <c r="I134" s="12"/>
    </row>
    <row r="135" customFormat="false" ht="24" hidden="false" customHeight="true" outlineLevel="0" collapsed="false">
      <c r="A135" s="12" t="s">
        <v>716</v>
      </c>
      <c r="B135" s="12" t="n">
        <v>1</v>
      </c>
      <c r="C135" s="12" t="s">
        <v>1959</v>
      </c>
      <c r="D135" s="12" t="s">
        <v>1960</v>
      </c>
      <c r="E135" s="12"/>
      <c r="F135" s="12" t="s">
        <v>1845</v>
      </c>
      <c r="G135" s="12" t="s">
        <v>1961</v>
      </c>
      <c r="H135" s="12" t="s">
        <v>1962</v>
      </c>
      <c r="I135" s="12"/>
    </row>
    <row r="136" customFormat="false" ht="15" hidden="false" customHeight="true" outlineLevel="0" collapsed="false">
      <c r="A136" s="12" t="s">
        <v>716</v>
      </c>
      <c r="B136" s="12" t="n">
        <v>2</v>
      </c>
      <c r="C136" s="12" t="s">
        <v>1963</v>
      </c>
      <c r="D136" s="12" t="s">
        <v>1964</v>
      </c>
      <c r="E136" s="12"/>
      <c r="F136" s="12" t="s">
        <v>1845</v>
      </c>
      <c r="G136" s="12" t="s">
        <v>1846</v>
      </c>
      <c r="H136" s="12" t="s">
        <v>1965</v>
      </c>
      <c r="I136" s="12"/>
    </row>
    <row r="137" customFormat="false" ht="24" hidden="false" customHeight="true" outlineLevel="0" collapsed="false">
      <c r="A137" s="12" t="s">
        <v>716</v>
      </c>
      <c r="B137" s="12" t="n">
        <v>3</v>
      </c>
      <c r="C137" s="12" t="s">
        <v>1966</v>
      </c>
      <c r="D137" s="12" t="s">
        <v>1967</v>
      </c>
      <c r="E137" s="12"/>
      <c r="F137" s="12" t="s">
        <v>1968</v>
      </c>
      <c r="G137" s="12" t="s">
        <v>1969</v>
      </c>
      <c r="H137" s="12"/>
      <c r="I137" s="12"/>
    </row>
    <row r="138" customFormat="false" ht="24" hidden="false" customHeight="true" outlineLevel="0" collapsed="false">
      <c r="A138" s="12" t="s">
        <v>716</v>
      </c>
      <c r="B138" s="12" t="n">
        <v>4</v>
      </c>
      <c r="C138" s="12" t="s">
        <v>1970</v>
      </c>
      <c r="D138" s="12" t="s">
        <v>1971</v>
      </c>
      <c r="E138" s="12"/>
      <c r="F138" s="12" t="s">
        <v>1845</v>
      </c>
      <c r="G138" s="12" t="s">
        <v>1972</v>
      </c>
      <c r="H138" s="12"/>
      <c r="I138" s="12"/>
    </row>
    <row r="139" customFormat="false" ht="24" hidden="false" customHeight="true" outlineLevel="0" collapsed="false">
      <c r="A139" s="12" t="s">
        <v>716</v>
      </c>
      <c r="B139" s="12" t="n">
        <v>5</v>
      </c>
      <c r="C139" s="12" t="s">
        <v>1973</v>
      </c>
      <c r="D139" s="12" t="s">
        <v>1974</v>
      </c>
      <c r="E139" s="12"/>
      <c r="F139" s="12" t="s">
        <v>1975</v>
      </c>
      <c r="G139" s="12" t="s">
        <v>1654</v>
      </c>
      <c r="H139" s="12" t="s">
        <v>1976</v>
      </c>
      <c r="I139" s="12"/>
    </row>
    <row r="140" customFormat="false" ht="15" hidden="false" customHeight="true" outlineLevel="0" collapsed="false">
      <c r="A140" s="12" t="s">
        <v>716</v>
      </c>
      <c r="B140" s="12" t="n">
        <v>6</v>
      </c>
      <c r="C140" s="12" t="s">
        <v>1861</v>
      </c>
      <c r="D140" s="12" t="s">
        <v>1665</v>
      </c>
      <c r="E140" s="12"/>
      <c r="F140" s="12" t="s">
        <v>1977</v>
      </c>
      <c r="G140" s="12" t="s">
        <v>1546</v>
      </c>
      <c r="H140" s="12"/>
      <c r="I140" s="12"/>
    </row>
    <row r="141" customFormat="false" ht="24" hidden="false" customHeight="true" outlineLevel="0" collapsed="false">
      <c r="A141" s="12" t="s">
        <v>716</v>
      </c>
      <c r="B141" s="12" t="n">
        <v>7</v>
      </c>
      <c r="C141" s="12" t="s">
        <v>1760</v>
      </c>
      <c r="D141" s="12" t="s">
        <v>1967</v>
      </c>
      <c r="E141" s="12"/>
      <c r="F141" s="12" t="s">
        <v>1978</v>
      </c>
      <c r="G141" s="12" t="s">
        <v>1979</v>
      </c>
      <c r="H141" s="12"/>
      <c r="I141" s="12"/>
    </row>
    <row r="142" customFormat="false" ht="24" hidden="false" customHeight="true" outlineLevel="0" collapsed="false">
      <c r="A142" s="12" t="s">
        <v>716</v>
      </c>
      <c r="B142" s="12" t="n">
        <v>8</v>
      </c>
      <c r="C142" s="12" t="s">
        <v>1764</v>
      </c>
      <c r="D142" s="12" t="s">
        <v>1544</v>
      </c>
      <c r="E142" s="12"/>
      <c r="F142" s="12" t="s">
        <v>1980</v>
      </c>
      <c r="G142" s="12" t="s">
        <v>1546</v>
      </c>
      <c r="H142" s="12"/>
      <c r="I142" s="12"/>
    </row>
    <row r="143" customFormat="false" ht="15" hidden="false" customHeight="true" outlineLevel="0" collapsed="false">
      <c r="A143" s="12" t="s">
        <v>716</v>
      </c>
      <c r="B143" s="12" t="n">
        <v>9</v>
      </c>
      <c r="C143" s="12" t="s">
        <v>1865</v>
      </c>
      <c r="D143" s="12" t="s">
        <v>1981</v>
      </c>
      <c r="E143" s="12"/>
      <c r="F143" s="12" t="s">
        <v>1867</v>
      </c>
      <c r="G143" s="12" t="s">
        <v>1868</v>
      </c>
      <c r="H143" s="12" t="s">
        <v>1646</v>
      </c>
      <c r="I143" s="12"/>
    </row>
    <row r="144" customFormat="false" ht="24" hidden="false" customHeight="true" outlineLevel="0" collapsed="false">
      <c r="A144" s="12" t="s">
        <v>716</v>
      </c>
      <c r="B144" s="12" t="n">
        <v>10</v>
      </c>
      <c r="C144" s="12" t="s">
        <v>1869</v>
      </c>
      <c r="D144" s="12" t="s">
        <v>1870</v>
      </c>
      <c r="E144" s="12"/>
      <c r="F144" s="12" t="s">
        <v>1982</v>
      </c>
      <c r="G144" s="12" t="s">
        <v>1872</v>
      </c>
      <c r="H144" s="12" t="s">
        <v>1873</v>
      </c>
      <c r="I144" s="12"/>
    </row>
    <row r="145" customFormat="false" ht="24" hidden="false" customHeight="true" outlineLevel="0" collapsed="false">
      <c r="A145" s="12" t="s">
        <v>719</v>
      </c>
      <c r="B145" s="12" t="n">
        <v>1</v>
      </c>
      <c r="C145" s="12" t="s">
        <v>1983</v>
      </c>
      <c r="D145" s="12" t="s">
        <v>1984</v>
      </c>
      <c r="E145" s="12"/>
      <c r="F145" s="12" t="s">
        <v>1876</v>
      </c>
      <c r="G145" s="12" t="s">
        <v>1985</v>
      </c>
      <c r="H145" s="12"/>
      <c r="I145" s="12"/>
    </row>
    <row r="146" customFormat="false" ht="24" hidden="false" customHeight="true" outlineLevel="0" collapsed="false">
      <c r="A146" s="12" t="s">
        <v>719</v>
      </c>
      <c r="B146" s="12" t="n">
        <v>2</v>
      </c>
      <c r="C146" s="12" t="s">
        <v>1986</v>
      </c>
      <c r="D146" s="12" t="s">
        <v>1987</v>
      </c>
      <c r="E146" s="12"/>
      <c r="F146" s="12" t="s">
        <v>1876</v>
      </c>
      <c r="G146" s="12" t="s">
        <v>1988</v>
      </c>
      <c r="H146" s="12" t="s">
        <v>1989</v>
      </c>
      <c r="I146" s="12"/>
    </row>
    <row r="147" customFormat="false" ht="24" hidden="false" customHeight="true" outlineLevel="0" collapsed="false">
      <c r="A147" s="12" t="s">
        <v>719</v>
      </c>
      <c r="B147" s="12" t="n">
        <v>3</v>
      </c>
      <c r="C147" s="12" t="s">
        <v>1970</v>
      </c>
      <c r="D147" s="12" t="s">
        <v>1990</v>
      </c>
      <c r="E147" s="12"/>
      <c r="F147" s="12" t="s">
        <v>1662</v>
      </c>
      <c r="G147" s="12" t="s">
        <v>1991</v>
      </c>
      <c r="H147" s="12"/>
      <c r="I147" s="12"/>
    </row>
    <row r="148" customFormat="false" ht="15" hidden="false" customHeight="true" outlineLevel="0" collapsed="false">
      <c r="A148" s="12" t="s">
        <v>719</v>
      </c>
      <c r="B148" s="12" t="n">
        <v>4</v>
      </c>
      <c r="C148" s="12" t="s">
        <v>1992</v>
      </c>
      <c r="D148" s="12" t="s">
        <v>1993</v>
      </c>
      <c r="E148" s="12"/>
      <c r="F148" s="12" t="s">
        <v>1662</v>
      </c>
      <c r="G148" s="12" t="s">
        <v>1994</v>
      </c>
      <c r="H148" s="12"/>
      <c r="I148" s="12"/>
    </row>
    <row r="149" customFormat="false" ht="24" hidden="false" customHeight="true" outlineLevel="0" collapsed="false">
      <c r="A149" s="12" t="s">
        <v>719</v>
      </c>
      <c r="B149" s="12" t="n">
        <v>5</v>
      </c>
      <c r="C149" s="12" t="s">
        <v>1885</v>
      </c>
      <c r="D149" s="12" t="s">
        <v>1995</v>
      </c>
      <c r="E149" s="12"/>
      <c r="F149" s="12" t="s">
        <v>1662</v>
      </c>
      <c r="G149" s="12" t="s">
        <v>1996</v>
      </c>
      <c r="H149" s="12"/>
      <c r="I149" s="12"/>
    </row>
    <row r="150" customFormat="false" ht="15" hidden="false" customHeight="true" outlineLevel="0" collapsed="false">
      <c r="A150" s="12" t="s">
        <v>719</v>
      </c>
      <c r="B150" s="12" t="n">
        <v>6</v>
      </c>
      <c r="C150" s="12" t="s">
        <v>1889</v>
      </c>
      <c r="D150" s="12" t="s">
        <v>1665</v>
      </c>
      <c r="E150" s="12"/>
      <c r="F150" s="12" t="s">
        <v>1997</v>
      </c>
      <c r="G150" s="12" t="s">
        <v>1891</v>
      </c>
      <c r="H150" s="12"/>
      <c r="I150" s="12"/>
    </row>
    <row r="151" customFormat="false" ht="24" hidden="false" customHeight="true" outlineLevel="0" collapsed="false">
      <c r="A151" s="12" t="s">
        <v>719</v>
      </c>
      <c r="B151" s="12" t="n">
        <v>7</v>
      </c>
      <c r="C151" s="12" t="s">
        <v>1682</v>
      </c>
      <c r="D151" s="12" t="s">
        <v>1544</v>
      </c>
      <c r="E151" s="12"/>
      <c r="F151" s="12" t="s">
        <v>1998</v>
      </c>
      <c r="G151" s="12" t="s">
        <v>1546</v>
      </c>
      <c r="H151" s="12"/>
      <c r="I151" s="12"/>
    </row>
    <row r="152" customFormat="false" ht="24" hidden="false" customHeight="true" outlineLevel="0" collapsed="false">
      <c r="A152" s="12" t="s">
        <v>719</v>
      </c>
      <c r="B152" s="12" t="n">
        <v>8</v>
      </c>
      <c r="C152" s="12" t="s">
        <v>1688</v>
      </c>
      <c r="D152" s="12" t="s">
        <v>1999</v>
      </c>
      <c r="E152" s="12"/>
      <c r="F152" s="12" t="s">
        <v>1690</v>
      </c>
      <c r="G152" s="12" t="s">
        <v>2000</v>
      </c>
      <c r="H152" s="12"/>
      <c r="I152" s="12"/>
    </row>
    <row r="153" customFormat="false" ht="24" hidden="false" customHeight="true" outlineLevel="0" collapsed="false">
      <c r="A153" s="12" t="s">
        <v>719</v>
      </c>
      <c r="B153" s="12" t="n">
        <v>9</v>
      </c>
      <c r="C153" s="12" t="s">
        <v>1896</v>
      </c>
      <c r="D153" s="12" t="s">
        <v>1897</v>
      </c>
      <c r="E153" s="12"/>
      <c r="F153" s="12" t="s">
        <v>1898</v>
      </c>
      <c r="G153" s="12" t="s">
        <v>2001</v>
      </c>
      <c r="H153" s="12"/>
      <c r="I153" s="12"/>
    </row>
    <row r="154" customFormat="false" ht="15" hidden="false" customHeight="true" outlineLevel="0" collapsed="false">
      <c r="A154" s="12" t="s">
        <v>719</v>
      </c>
      <c r="B154" s="12" t="n">
        <v>10</v>
      </c>
      <c r="C154" s="12" t="s">
        <v>2002</v>
      </c>
      <c r="D154" s="12" t="s">
        <v>2003</v>
      </c>
      <c r="E154" s="12"/>
      <c r="F154" s="12" t="s">
        <v>1662</v>
      </c>
      <c r="G154" s="12" t="s">
        <v>2004</v>
      </c>
      <c r="H154" s="12"/>
      <c r="I154" s="12"/>
    </row>
    <row r="155" customFormat="false" ht="24" hidden="false" customHeight="true" outlineLevel="0" collapsed="false">
      <c r="A155" s="12" t="s">
        <v>721</v>
      </c>
      <c r="B155" s="12" t="n">
        <v>1</v>
      </c>
      <c r="C155" s="12" t="s">
        <v>2005</v>
      </c>
      <c r="D155" s="12" t="s">
        <v>2006</v>
      </c>
      <c r="E155" s="12"/>
      <c r="F155" s="12" t="s">
        <v>2007</v>
      </c>
      <c r="G155" s="12" t="s">
        <v>2008</v>
      </c>
      <c r="H155" s="12"/>
      <c r="I155" s="12"/>
    </row>
    <row r="156" customFormat="false" ht="24" hidden="false" customHeight="true" outlineLevel="0" collapsed="false">
      <c r="A156" s="12" t="s">
        <v>721</v>
      </c>
      <c r="B156" s="12" t="n">
        <v>2</v>
      </c>
      <c r="C156" s="12" t="s">
        <v>2009</v>
      </c>
      <c r="D156" s="12" t="s">
        <v>2010</v>
      </c>
      <c r="E156" s="12"/>
      <c r="F156" s="12" t="s">
        <v>1909</v>
      </c>
      <c r="G156" s="12" t="s">
        <v>2011</v>
      </c>
      <c r="H156" s="12"/>
      <c r="I156" s="12"/>
    </row>
    <row r="157" customFormat="false" ht="24" hidden="false" customHeight="true" outlineLevel="0" collapsed="false">
      <c r="A157" s="12" t="s">
        <v>721</v>
      </c>
      <c r="B157" s="12" t="n">
        <v>3</v>
      </c>
      <c r="C157" s="12" t="s">
        <v>2012</v>
      </c>
      <c r="D157" s="12" t="s">
        <v>2013</v>
      </c>
      <c r="E157" s="12"/>
      <c r="F157" s="12" t="s">
        <v>2014</v>
      </c>
      <c r="G157" s="12" t="s">
        <v>2015</v>
      </c>
      <c r="H157" s="12"/>
      <c r="I157" s="12"/>
    </row>
    <row r="158" customFormat="false" ht="24" hidden="false" customHeight="true" outlineLevel="0" collapsed="false">
      <c r="A158" s="12" t="s">
        <v>721</v>
      </c>
      <c r="B158" s="12" t="n">
        <v>4</v>
      </c>
      <c r="C158" s="12" t="s">
        <v>2016</v>
      </c>
      <c r="D158" s="12" t="s">
        <v>2017</v>
      </c>
      <c r="E158" s="12"/>
      <c r="F158" s="12" t="s">
        <v>1714</v>
      </c>
      <c r="G158" s="12" t="s">
        <v>2018</v>
      </c>
      <c r="H158" s="12"/>
      <c r="I158" s="12"/>
    </row>
    <row r="159" customFormat="false" ht="24" hidden="false" customHeight="true" outlineLevel="0" collapsed="false">
      <c r="A159" s="12" t="s">
        <v>721</v>
      </c>
      <c r="B159" s="12" t="n">
        <v>5</v>
      </c>
      <c r="C159" s="12" t="s">
        <v>2019</v>
      </c>
      <c r="D159" s="12" t="s">
        <v>1987</v>
      </c>
      <c r="E159" s="12"/>
      <c r="F159" s="12" t="s">
        <v>1915</v>
      </c>
      <c r="G159" s="12" t="s">
        <v>1546</v>
      </c>
      <c r="H159" s="12" t="s">
        <v>2020</v>
      </c>
      <c r="I159" s="12"/>
    </row>
    <row r="160" customFormat="false" ht="24" hidden="false" customHeight="true" outlineLevel="0" collapsed="false">
      <c r="A160" s="12" t="s">
        <v>721</v>
      </c>
      <c r="B160" s="12" t="n">
        <v>6</v>
      </c>
      <c r="C160" s="12" t="s">
        <v>1719</v>
      </c>
      <c r="D160" s="12" t="s">
        <v>2021</v>
      </c>
      <c r="E160" s="12"/>
      <c r="F160" s="12" t="s">
        <v>1721</v>
      </c>
      <c r="G160" s="12" t="s">
        <v>2022</v>
      </c>
      <c r="H160" s="12"/>
      <c r="I160" s="12"/>
    </row>
    <row r="161" customFormat="false" ht="15" hidden="false" customHeight="true" outlineLevel="0" collapsed="false">
      <c r="A161" s="12" t="s">
        <v>721</v>
      </c>
      <c r="B161" s="12" t="n">
        <v>7</v>
      </c>
      <c r="C161" s="12" t="s">
        <v>1919</v>
      </c>
      <c r="D161" s="12" t="s">
        <v>2013</v>
      </c>
      <c r="E161" s="12"/>
      <c r="F161" s="12" t="s">
        <v>1978</v>
      </c>
      <c r="G161" s="12" t="s">
        <v>1979</v>
      </c>
      <c r="H161" s="12"/>
      <c r="I161" s="12"/>
    </row>
    <row r="162" customFormat="false" ht="24" hidden="false" customHeight="true" outlineLevel="0" collapsed="false">
      <c r="A162" s="12" t="s">
        <v>721</v>
      </c>
      <c r="B162" s="12" t="n">
        <v>8</v>
      </c>
      <c r="C162" s="12" t="s">
        <v>1920</v>
      </c>
      <c r="D162" s="12" t="s">
        <v>1544</v>
      </c>
      <c r="E162" s="12"/>
      <c r="F162" s="12" t="s">
        <v>2023</v>
      </c>
      <c r="G162" s="12" t="s">
        <v>1546</v>
      </c>
      <c r="H162" s="12"/>
      <c r="I162" s="12"/>
    </row>
    <row r="163" customFormat="false" ht="24" hidden="false" customHeight="true" outlineLevel="0" collapsed="false">
      <c r="A163" s="12" t="s">
        <v>721</v>
      </c>
      <c r="B163" s="12" t="n">
        <v>9</v>
      </c>
      <c r="C163" s="12" t="s">
        <v>2024</v>
      </c>
      <c r="D163" s="12" t="s">
        <v>2025</v>
      </c>
      <c r="E163" s="12"/>
      <c r="F163" s="12" t="s">
        <v>1710</v>
      </c>
      <c r="G163" s="12" t="s">
        <v>1718</v>
      </c>
      <c r="H163" s="12"/>
      <c r="I163" s="12"/>
    </row>
    <row r="164" customFormat="false" ht="24" hidden="false" customHeight="true" outlineLevel="0" collapsed="false">
      <c r="A164" s="12" t="s">
        <v>721</v>
      </c>
      <c r="B164" s="12" t="n">
        <v>10</v>
      </c>
      <c r="C164" s="12" t="s">
        <v>1925</v>
      </c>
      <c r="D164" s="12" t="s">
        <v>2026</v>
      </c>
      <c r="E164" s="12"/>
      <c r="F164" s="12" t="s">
        <v>1837</v>
      </c>
      <c r="G164" s="12" t="s">
        <v>1927</v>
      </c>
      <c r="H164" s="12"/>
      <c r="I164" s="12"/>
    </row>
    <row r="165" customFormat="false" ht="15" hidden="false" customHeight="true" outlineLevel="0" collapsed="false">
      <c r="A165" s="12" t="s">
        <v>723</v>
      </c>
      <c r="B165" s="12" t="n">
        <v>1</v>
      </c>
      <c r="C165" s="12" t="s">
        <v>2027</v>
      </c>
      <c r="D165" s="12" t="s">
        <v>2028</v>
      </c>
      <c r="E165" s="12"/>
      <c r="F165" s="12" t="s">
        <v>2029</v>
      </c>
      <c r="G165" s="12" t="s">
        <v>2030</v>
      </c>
      <c r="H165" s="12"/>
      <c r="I165" s="12"/>
    </row>
    <row r="166" customFormat="false" ht="24" hidden="false" customHeight="true" outlineLevel="0" collapsed="false">
      <c r="A166" s="12" t="s">
        <v>723</v>
      </c>
      <c r="B166" s="12" t="n">
        <v>2</v>
      </c>
      <c r="C166" s="12" t="s">
        <v>1933</v>
      </c>
      <c r="D166" s="12" t="s">
        <v>2031</v>
      </c>
      <c r="E166" s="12"/>
      <c r="F166" s="12" t="s">
        <v>1935</v>
      </c>
      <c r="G166" s="12" t="s">
        <v>1936</v>
      </c>
      <c r="H166" s="12"/>
      <c r="I166" s="12"/>
    </row>
    <row r="167" customFormat="false" ht="24" hidden="false" customHeight="true" outlineLevel="0" collapsed="false">
      <c r="A167" s="12" t="s">
        <v>723</v>
      </c>
      <c r="B167" s="12" t="n">
        <v>3</v>
      </c>
      <c r="C167" s="12" t="s">
        <v>1937</v>
      </c>
      <c r="D167" s="12" t="s">
        <v>2032</v>
      </c>
      <c r="E167" s="12"/>
      <c r="F167" s="12" t="s">
        <v>1939</v>
      </c>
      <c r="G167" s="12" t="s">
        <v>2033</v>
      </c>
      <c r="H167" s="12"/>
      <c r="I167" s="12"/>
    </row>
    <row r="168" customFormat="false" ht="24" hidden="false" customHeight="true" outlineLevel="0" collapsed="false">
      <c r="A168" s="12" t="s">
        <v>723</v>
      </c>
      <c r="B168" s="12" t="n">
        <v>4</v>
      </c>
      <c r="C168" s="12" t="s">
        <v>1941</v>
      </c>
      <c r="D168" s="12" t="s">
        <v>2034</v>
      </c>
      <c r="E168" s="12"/>
      <c r="F168" s="12" t="s">
        <v>1943</v>
      </c>
      <c r="G168" s="12" t="s">
        <v>1944</v>
      </c>
      <c r="H168" s="12"/>
      <c r="I168" s="12"/>
    </row>
    <row r="169" customFormat="false" ht="24" hidden="false" customHeight="true" outlineLevel="0" collapsed="false">
      <c r="A169" s="12" t="s">
        <v>723</v>
      </c>
      <c r="B169" s="12" t="n">
        <v>5</v>
      </c>
      <c r="C169" s="12" t="s">
        <v>2035</v>
      </c>
      <c r="D169" s="12" t="s">
        <v>1987</v>
      </c>
      <c r="E169" s="12"/>
      <c r="F169" s="12" t="s">
        <v>1946</v>
      </c>
      <c r="G169" s="12" t="s">
        <v>1947</v>
      </c>
      <c r="H169" s="12"/>
      <c r="I169" s="12"/>
    </row>
    <row r="170" customFormat="false" ht="15" hidden="false" customHeight="true" outlineLevel="0" collapsed="false">
      <c r="A170" s="12" t="s">
        <v>723</v>
      </c>
      <c r="B170" s="12" t="n">
        <v>6</v>
      </c>
      <c r="C170" s="12" t="s">
        <v>1948</v>
      </c>
      <c r="D170" s="12" t="s">
        <v>2034</v>
      </c>
      <c r="E170" s="12"/>
      <c r="F170" s="12" t="s">
        <v>1662</v>
      </c>
      <c r="G170" s="12" t="s">
        <v>2004</v>
      </c>
      <c r="H170" s="12"/>
      <c r="I170" s="12"/>
    </row>
    <row r="171" customFormat="false" ht="15" hidden="false" customHeight="true" outlineLevel="0" collapsed="false">
      <c r="A171" s="12" t="s">
        <v>723</v>
      </c>
      <c r="B171" s="12" t="n">
        <v>7</v>
      </c>
      <c r="C171" s="12" t="s">
        <v>1950</v>
      </c>
      <c r="D171" s="12" t="s">
        <v>2034</v>
      </c>
      <c r="E171" s="12"/>
      <c r="F171" s="12" t="s">
        <v>2036</v>
      </c>
      <c r="G171" s="12" t="s">
        <v>2037</v>
      </c>
      <c r="H171" s="12"/>
      <c r="I171" s="12"/>
    </row>
    <row r="172" customFormat="false" ht="15" hidden="false" customHeight="true" outlineLevel="0" collapsed="false">
      <c r="A172" s="12" t="s">
        <v>723</v>
      </c>
      <c r="B172" s="12" t="n">
        <v>8</v>
      </c>
      <c r="C172" s="12" t="s">
        <v>1953</v>
      </c>
      <c r="D172" s="12" t="s">
        <v>1544</v>
      </c>
      <c r="E172" s="12"/>
      <c r="F172" s="12" t="s">
        <v>2038</v>
      </c>
      <c r="G172" s="12" t="s">
        <v>1546</v>
      </c>
      <c r="H172" s="12"/>
      <c r="I172" s="12"/>
    </row>
    <row r="173" customFormat="false" ht="24" hidden="false" customHeight="true" outlineLevel="0" collapsed="false">
      <c r="A173" s="12" t="s">
        <v>723</v>
      </c>
      <c r="B173" s="12" t="n">
        <v>9</v>
      </c>
      <c r="C173" s="12" t="s">
        <v>1955</v>
      </c>
      <c r="D173" s="12" t="s">
        <v>2039</v>
      </c>
      <c r="E173" s="12"/>
      <c r="F173" s="12" t="s">
        <v>1837</v>
      </c>
      <c r="G173" s="12" t="s">
        <v>1927</v>
      </c>
      <c r="H173" s="12"/>
      <c r="I173" s="12"/>
    </row>
    <row r="174" customFormat="false" ht="15" hidden="false" customHeight="true" outlineLevel="0" collapsed="false">
      <c r="A174" s="12" t="s">
        <v>723</v>
      </c>
      <c r="B174" s="12" t="n">
        <v>10</v>
      </c>
      <c r="C174" s="12" t="s">
        <v>1957</v>
      </c>
      <c r="D174" s="12" t="s">
        <v>1665</v>
      </c>
      <c r="E174" s="12"/>
      <c r="F174" s="12" t="s">
        <v>2040</v>
      </c>
      <c r="G174" s="12" t="s">
        <v>1546</v>
      </c>
      <c r="H174" s="12"/>
      <c r="I174" s="12"/>
    </row>
    <row r="175" customFormat="false" ht="24" hidden="false" customHeight="true" outlineLevel="0" collapsed="false">
      <c r="A175" s="12" t="s">
        <v>725</v>
      </c>
      <c r="B175" s="12" t="n">
        <v>1</v>
      </c>
      <c r="C175" s="12" t="s">
        <v>2041</v>
      </c>
      <c r="D175" s="12" t="s">
        <v>2042</v>
      </c>
      <c r="E175" s="12"/>
      <c r="F175" s="12" t="s">
        <v>2043</v>
      </c>
      <c r="G175" s="12" t="s">
        <v>2044</v>
      </c>
      <c r="H175" s="12" t="s">
        <v>2045</v>
      </c>
      <c r="I175" s="12"/>
    </row>
    <row r="176" customFormat="false" ht="24" hidden="false" customHeight="true" outlineLevel="0" collapsed="false">
      <c r="A176" s="12" t="s">
        <v>725</v>
      </c>
      <c r="B176" s="12" t="n">
        <v>2</v>
      </c>
      <c r="C176" s="12" t="s">
        <v>2046</v>
      </c>
      <c r="D176" s="12" t="s">
        <v>2047</v>
      </c>
      <c r="E176" s="12"/>
      <c r="F176" s="12" t="s">
        <v>2048</v>
      </c>
      <c r="G176" s="12" t="s">
        <v>2049</v>
      </c>
      <c r="H176" s="12" t="s">
        <v>2050</v>
      </c>
      <c r="I176" s="12"/>
    </row>
    <row r="177" customFormat="false" ht="24" hidden="false" customHeight="true" outlineLevel="0" collapsed="false">
      <c r="A177" s="12" t="s">
        <v>725</v>
      </c>
      <c r="B177" s="12" t="n">
        <v>3</v>
      </c>
      <c r="C177" s="12" t="s">
        <v>2051</v>
      </c>
      <c r="D177" s="12" t="s">
        <v>2052</v>
      </c>
      <c r="E177" s="12"/>
      <c r="F177" s="12" t="s">
        <v>2053</v>
      </c>
      <c r="G177" s="12" t="s">
        <v>1654</v>
      </c>
      <c r="H177" s="12" t="s">
        <v>1655</v>
      </c>
      <c r="I177" s="12"/>
    </row>
    <row r="178" customFormat="false" ht="24" hidden="false" customHeight="true" outlineLevel="0" collapsed="false">
      <c r="A178" s="12" t="s">
        <v>725</v>
      </c>
      <c r="B178" s="12" t="n">
        <v>4</v>
      </c>
      <c r="C178" s="12" t="s">
        <v>2054</v>
      </c>
      <c r="D178" s="12" t="s">
        <v>2055</v>
      </c>
      <c r="E178" s="12"/>
      <c r="F178" s="12" t="s">
        <v>2056</v>
      </c>
      <c r="G178" s="12" t="s">
        <v>1641</v>
      </c>
      <c r="H178" s="12" t="s">
        <v>2057</v>
      </c>
      <c r="I178" s="12"/>
    </row>
    <row r="179" customFormat="false" ht="24" hidden="false" customHeight="true" outlineLevel="0" collapsed="false">
      <c r="A179" s="12" t="s">
        <v>725</v>
      </c>
      <c r="B179" s="12" t="n">
        <v>5</v>
      </c>
      <c r="C179" s="12" t="s">
        <v>2058</v>
      </c>
      <c r="D179" s="12" t="s">
        <v>2059</v>
      </c>
      <c r="E179" s="12"/>
      <c r="F179" s="12" t="s">
        <v>2060</v>
      </c>
      <c r="G179" s="12" t="s">
        <v>2061</v>
      </c>
      <c r="H179" s="12" t="s">
        <v>2062</v>
      </c>
      <c r="I179" s="12"/>
    </row>
    <row r="180" customFormat="false" ht="15" hidden="false" customHeight="true" outlineLevel="0" collapsed="false">
      <c r="A180" s="12" t="s">
        <v>725</v>
      </c>
      <c r="B180" s="12" t="n">
        <v>6</v>
      </c>
      <c r="C180" s="12" t="s">
        <v>2063</v>
      </c>
      <c r="D180" s="12" t="s">
        <v>2064</v>
      </c>
      <c r="E180" s="12"/>
      <c r="F180" s="12" t="s">
        <v>1978</v>
      </c>
      <c r="G180" s="12" t="s">
        <v>1979</v>
      </c>
      <c r="H180" s="12"/>
      <c r="I180" s="12"/>
    </row>
    <row r="181" customFormat="false" ht="15" hidden="false" customHeight="true" outlineLevel="0" collapsed="false">
      <c r="A181" s="12" t="s">
        <v>725</v>
      </c>
      <c r="B181" s="12" t="n">
        <v>7</v>
      </c>
      <c r="C181" s="12" t="s">
        <v>2065</v>
      </c>
      <c r="D181" s="12" t="s">
        <v>1544</v>
      </c>
      <c r="E181" s="12"/>
      <c r="F181" s="12" t="s">
        <v>2066</v>
      </c>
      <c r="G181" s="12" t="s">
        <v>1546</v>
      </c>
      <c r="H181" s="12"/>
      <c r="I181" s="12"/>
    </row>
    <row r="182" customFormat="false" ht="24" hidden="false" customHeight="true" outlineLevel="0" collapsed="false">
      <c r="A182" s="12" t="s">
        <v>725</v>
      </c>
      <c r="B182" s="12" t="n">
        <v>8</v>
      </c>
      <c r="C182" s="12" t="s">
        <v>2067</v>
      </c>
      <c r="D182" s="12" t="s">
        <v>1606</v>
      </c>
      <c r="E182" s="12"/>
      <c r="F182" s="12" t="s">
        <v>2068</v>
      </c>
      <c r="G182" s="12" t="s">
        <v>1546</v>
      </c>
      <c r="H182" s="12"/>
      <c r="I182" s="12"/>
    </row>
    <row r="183" customFormat="false" ht="24" hidden="false" customHeight="true" outlineLevel="0" collapsed="false">
      <c r="A183" s="12" t="s">
        <v>725</v>
      </c>
      <c r="B183" s="12" t="n">
        <v>9</v>
      </c>
      <c r="C183" s="12" t="s">
        <v>2069</v>
      </c>
      <c r="D183" s="12" t="s">
        <v>2070</v>
      </c>
      <c r="E183" s="12"/>
      <c r="F183" s="12" t="s">
        <v>2071</v>
      </c>
      <c r="G183" s="12" t="s">
        <v>1649</v>
      </c>
      <c r="H183" s="12" t="s">
        <v>2072</v>
      </c>
      <c r="I183" s="12"/>
    </row>
    <row r="184" customFormat="false" ht="15" hidden="false" customHeight="true" outlineLevel="0" collapsed="false">
      <c r="A184" s="12" t="s">
        <v>725</v>
      </c>
      <c r="B184" s="12" t="n">
        <v>10</v>
      </c>
      <c r="C184" s="12" t="s">
        <v>2073</v>
      </c>
      <c r="D184" s="12" t="s">
        <v>2074</v>
      </c>
      <c r="E184" s="12"/>
      <c r="F184" s="12" t="s">
        <v>2075</v>
      </c>
      <c r="G184" s="12" t="s">
        <v>2076</v>
      </c>
      <c r="H184" s="12"/>
      <c r="I184" s="12"/>
    </row>
    <row r="185" customFormat="false" ht="24" hidden="false" customHeight="true" outlineLevel="0" collapsed="false">
      <c r="A185" s="12" t="s">
        <v>942</v>
      </c>
      <c r="B185" s="12" t="n">
        <v>1</v>
      </c>
      <c r="C185" s="12" t="s">
        <v>2077</v>
      </c>
      <c r="D185" s="12" t="s">
        <v>2078</v>
      </c>
      <c r="E185" s="12"/>
      <c r="F185" s="12" t="s">
        <v>2079</v>
      </c>
      <c r="G185" s="12" t="s">
        <v>2080</v>
      </c>
      <c r="H185" s="12"/>
      <c r="I185" s="12"/>
    </row>
    <row r="186" customFormat="false" ht="15" hidden="false" customHeight="true" outlineLevel="0" collapsed="false">
      <c r="A186" s="12" t="s">
        <v>942</v>
      </c>
      <c r="B186" s="12" t="n">
        <v>2</v>
      </c>
      <c r="C186" s="12" t="s">
        <v>2081</v>
      </c>
      <c r="D186" s="12" t="s">
        <v>2082</v>
      </c>
      <c r="E186" s="12"/>
      <c r="F186" s="12" t="s">
        <v>2079</v>
      </c>
      <c r="G186" s="12" t="s">
        <v>2083</v>
      </c>
      <c r="H186" s="12"/>
      <c r="I186" s="12"/>
    </row>
    <row r="187" customFormat="false" ht="15" hidden="false" customHeight="true" outlineLevel="0" collapsed="false">
      <c r="A187" s="12" t="s">
        <v>942</v>
      </c>
      <c r="B187" s="12" t="n">
        <v>3</v>
      </c>
      <c r="C187" s="12" t="s">
        <v>2084</v>
      </c>
      <c r="D187" s="12" t="s">
        <v>2085</v>
      </c>
      <c r="E187" s="12"/>
      <c r="F187" s="12" t="s">
        <v>2086</v>
      </c>
      <c r="G187" s="12" t="s">
        <v>2087</v>
      </c>
      <c r="H187" s="12"/>
      <c r="I187" s="12"/>
    </row>
    <row r="188" customFormat="false" ht="15" hidden="false" customHeight="true" outlineLevel="0" collapsed="false">
      <c r="A188" s="12" t="s">
        <v>942</v>
      </c>
      <c r="B188" s="12" t="n">
        <v>4</v>
      </c>
      <c r="C188" s="12" t="s">
        <v>2088</v>
      </c>
      <c r="D188" s="12" t="s">
        <v>2089</v>
      </c>
      <c r="E188" s="12"/>
      <c r="F188" s="12" t="s">
        <v>2090</v>
      </c>
      <c r="G188" s="12" t="s">
        <v>1667</v>
      </c>
      <c r="H188" s="12"/>
      <c r="I188" s="12"/>
    </row>
    <row r="189" customFormat="false" ht="24" hidden="false" customHeight="true" outlineLevel="0" collapsed="false">
      <c r="A189" s="12" t="s">
        <v>942</v>
      </c>
      <c r="B189" s="12" t="n">
        <v>5</v>
      </c>
      <c r="C189" s="12" t="s">
        <v>2091</v>
      </c>
      <c r="D189" s="12" t="s">
        <v>2092</v>
      </c>
      <c r="E189" s="12"/>
      <c r="F189" s="12" t="s">
        <v>2093</v>
      </c>
      <c r="G189" s="12" t="s">
        <v>2094</v>
      </c>
      <c r="H189" s="12"/>
      <c r="I189" s="12"/>
    </row>
    <row r="190" customFormat="false" ht="24" hidden="false" customHeight="true" outlineLevel="0" collapsed="false">
      <c r="A190" s="12" t="s">
        <v>942</v>
      </c>
      <c r="B190" s="12" t="n">
        <v>6</v>
      </c>
      <c r="C190" s="12" t="s">
        <v>2095</v>
      </c>
      <c r="D190" s="12" t="s">
        <v>2096</v>
      </c>
      <c r="E190" s="12"/>
      <c r="F190" s="12" t="s">
        <v>2097</v>
      </c>
      <c r="G190" s="12" t="s">
        <v>2098</v>
      </c>
      <c r="H190" s="12"/>
      <c r="I190" s="12"/>
    </row>
    <row r="191" customFormat="false" ht="24" hidden="false" customHeight="true" outlineLevel="0" collapsed="false">
      <c r="A191" s="12" t="s">
        <v>942</v>
      </c>
      <c r="B191" s="12" t="n">
        <v>7</v>
      </c>
      <c r="C191" s="12" t="s">
        <v>2099</v>
      </c>
      <c r="D191" s="12" t="s">
        <v>2100</v>
      </c>
      <c r="E191" s="12"/>
      <c r="F191" s="12" t="s">
        <v>2101</v>
      </c>
      <c r="G191" s="12" t="s">
        <v>1579</v>
      </c>
      <c r="H191" s="12"/>
      <c r="I191" s="12"/>
    </row>
    <row r="192" customFormat="false" ht="15" hidden="false" customHeight="true" outlineLevel="0" collapsed="false">
      <c r="A192" s="12" t="s">
        <v>942</v>
      </c>
      <c r="B192" s="12" t="n">
        <v>8</v>
      </c>
      <c r="C192" s="12" t="s">
        <v>1682</v>
      </c>
      <c r="D192" s="12" t="s">
        <v>1544</v>
      </c>
      <c r="E192" s="12"/>
      <c r="F192" s="12" t="s">
        <v>2102</v>
      </c>
      <c r="G192" s="12" t="s">
        <v>1546</v>
      </c>
      <c r="H192" s="12"/>
      <c r="I192" s="12"/>
    </row>
    <row r="193" customFormat="false" ht="24" hidden="false" customHeight="true" outlineLevel="0" collapsed="false">
      <c r="A193" s="12" t="s">
        <v>942</v>
      </c>
      <c r="B193" s="12" t="n">
        <v>9</v>
      </c>
      <c r="C193" s="12" t="s">
        <v>2103</v>
      </c>
      <c r="D193" s="12" t="s">
        <v>2092</v>
      </c>
      <c r="E193" s="12"/>
      <c r="F193" s="12" t="s">
        <v>1690</v>
      </c>
      <c r="G193" s="12" t="s">
        <v>2104</v>
      </c>
      <c r="H193" s="12"/>
      <c r="I193" s="12"/>
    </row>
    <row r="194" customFormat="false" ht="24" hidden="false" customHeight="true" outlineLevel="0" collapsed="false">
      <c r="A194" s="12" t="s">
        <v>942</v>
      </c>
      <c r="B194" s="12" t="n">
        <v>10</v>
      </c>
      <c r="C194" s="12" t="s">
        <v>2105</v>
      </c>
      <c r="D194" s="12" t="s">
        <v>2106</v>
      </c>
      <c r="E194" s="12"/>
      <c r="F194" s="12" t="s">
        <v>2107</v>
      </c>
      <c r="G194" s="12" t="s">
        <v>2108</v>
      </c>
      <c r="H194" s="12"/>
      <c r="I194" s="12"/>
    </row>
    <row r="195" customFormat="false" ht="15" hidden="false" customHeight="true" outlineLevel="0" collapsed="false">
      <c r="A195" s="12" t="s">
        <v>950</v>
      </c>
      <c r="B195" s="12" t="n">
        <v>1</v>
      </c>
      <c r="C195" s="12" t="s">
        <v>2109</v>
      </c>
      <c r="D195" s="12" t="s">
        <v>2110</v>
      </c>
      <c r="E195" s="12"/>
      <c r="F195" s="12" t="s">
        <v>2111</v>
      </c>
      <c r="G195" s="12" t="s">
        <v>2112</v>
      </c>
      <c r="H195" s="12"/>
      <c r="I195" s="12"/>
    </row>
    <row r="196" customFormat="false" ht="24" hidden="false" customHeight="true" outlineLevel="0" collapsed="false">
      <c r="A196" s="12" t="s">
        <v>950</v>
      </c>
      <c r="B196" s="12" t="n">
        <v>2</v>
      </c>
      <c r="C196" s="12" t="s">
        <v>2113</v>
      </c>
      <c r="D196" s="12" t="s">
        <v>2114</v>
      </c>
      <c r="E196" s="12"/>
      <c r="F196" s="12" t="s">
        <v>2115</v>
      </c>
      <c r="G196" s="12" t="s">
        <v>2116</v>
      </c>
      <c r="H196" s="12"/>
      <c r="I196" s="12"/>
    </row>
    <row r="197" customFormat="false" ht="24" hidden="false" customHeight="true" outlineLevel="0" collapsed="false">
      <c r="A197" s="12" t="s">
        <v>950</v>
      </c>
      <c r="B197" s="12" t="n">
        <v>3</v>
      </c>
      <c r="C197" s="12" t="s">
        <v>2117</v>
      </c>
      <c r="D197" s="12" t="s">
        <v>2118</v>
      </c>
      <c r="E197" s="12"/>
      <c r="F197" s="12" t="s">
        <v>1710</v>
      </c>
      <c r="G197" s="12" t="s">
        <v>1641</v>
      </c>
      <c r="H197" s="12"/>
      <c r="I197" s="12"/>
    </row>
    <row r="198" customFormat="false" ht="24" hidden="false" customHeight="true" outlineLevel="0" collapsed="false">
      <c r="A198" s="12" t="s">
        <v>950</v>
      </c>
      <c r="B198" s="12" t="n">
        <v>4</v>
      </c>
      <c r="C198" s="12" t="s">
        <v>2119</v>
      </c>
      <c r="D198" s="12" t="s">
        <v>2120</v>
      </c>
      <c r="E198" s="12"/>
      <c r="F198" s="12" t="s">
        <v>2121</v>
      </c>
      <c r="G198" s="12" t="s">
        <v>1641</v>
      </c>
      <c r="H198" s="12"/>
      <c r="I198" s="12"/>
    </row>
    <row r="199" customFormat="false" ht="15" hidden="false" customHeight="true" outlineLevel="0" collapsed="false">
      <c r="A199" s="12" t="s">
        <v>950</v>
      </c>
      <c r="B199" s="12" t="n">
        <v>5</v>
      </c>
      <c r="C199" s="12" t="s">
        <v>2122</v>
      </c>
      <c r="D199" s="12" t="s">
        <v>2123</v>
      </c>
      <c r="E199" s="12"/>
      <c r="F199" s="12" t="s">
        <v>2124</v>
      </c>
      <c r="G199" s="12" t="s">
        <v>1546</v>
      </c>
      <c r="H199" s="12"/>
      <c r="I199" s="12"/>
    </row>
    <row r="200" customFormat="false" ht="24" hidden="false" customHeight="true" outlineLevel="0" collapsed="false">
      <c r="A200" s="12" t="s">
        <v>950</v>
      </c>
      <c r="B200" s="12" t="n">
        <v>6</v>
      </c>
      <c r="C200" s="12" t="s">
        <v>1719</v>
      </c>
      <c r="D200" s="12" t="s">
        <v>2125</v>
      </c>
      <c r="E200" s="12"/>
      <c r="F200" s="12" t="s">
        <v>1721</v>
      </c>
      <c r="G200" s="12" t="s">
        <v>2126</v>
      </c>
      <c r="H200" s="12"/>
      <c r="I200" s="12"/>
    </row>
    <row r="201" customFormat="false" ht="24" hidden="false" customHeight="true" outlineLevel="0" collapsed="false">
      <c r="A201" s="12" t="s">
        <v>950</v>
      </c>
      <c r="B201" s="12" t="n">
        <v>7</v>
      </c>
      <c r="C201" s="12" t="s">
        <v>1919</v>
      </c>
      <c r="D201" s="12" t="s">
        <v>2127</v>
      </c>
      <c r="E201" s="12"/>
      <c r="F201" s="12" t="s">
        <v>1978</v>
      </c>
      <c r="G201" s="12" t="s">
        <v>1979</v>
      </c>
      <c r="H201" s="12"/>
      <c r="I201" s="12"/>
    </row>
    <row r="202" customFormat="false" ht="15" hidden="false" customHeight="true" outlineLevel="0" collapsed="false">
      <c r="A202" s="12" t="s">
        <v>950</v>
      </c>
      <c r="B202" s="12" t="n">
        <v>8</v>
      </c>
      <c r="C202" s="12" t="s">
        <v>1920</v>
      </c>
      <c r="D202" s="12" t="s">
        <v>1544</v>
      </c>
      <c r="E202" s="12"/>
      <c r="F202" s="12" t="s">
        <v>2128</v>
      </c>
      <c r="G202" s="12" t="s">
        <v>1546</v>
      </c>
      <c r="H202" s="12"/>
      <c r="I202" s="12"/>
    </row>
    <row r="203" customFormat="false" ht="24" hidden="false" customHeight="true" outlineLevel="0" collapsed="false">
      <c r="A203" s="12" t="s">
        <v>950</v>
      </c>
      <c r="B203" s="12" t="n">
        <v>9</v>
      </c>
      <c r="C203" s="12" t="s">
        <v>2129</v>
      </c>
      <c r="D203" s="12" t="s">
        <v>1606</v>
      </c>
      <c r="E203" s="12"/>
      <c r="F203" s="12" t="s">
        <v>2130</v>
      </c>
      <c r="G203" s="12" t="s">
        <v>1546</v>
      </c>
      <c r="H203" s="12"/>
      <c r="I203" s="12"/>
    </row>
    <row r="204" customFormat="false" ht="24" hidden="false" customHeight="true" outlineLevel="0" collapsed="false">
      <c r="A204" s="12" t="s">
        <v>950</v>
      </c>
      <c r="B204" s="12" t="n">
        <v>10</v>
      </c>
      <c r="C204" s="12" t="s">
        <v>2131</v>
      </c>
      <c r="D204" s="12" t="s">
        <v>2132</v>
      </c>
      <c r="E204" s="12"/>
      <c r="F204" s="12" t="s">
        <v>1710</v>
      </c>
      <c r="G204" s="12" t="s">
        <v>1718</v>
      </c>
      <c r="H204" s="12"/>
      <c r="I204" s="12"/>
    </row>
    <row r="205" customFormat="false" ht="15" hidden="false" customHeight="true" outlineLevel="0" collapsed="false">
      <c r="A205" s="12" t="s">
        <v>958</v>
      </c>
      <c r="B205" s="12" t="n">
        <v>1</v>
      </c>
      <c r="C205" s="12" t="s">
        <v>2133</v>
      </c>
      <c r="D205" s="12" t="s">
        <v>2134</v>
      </c>
      <c r="E205" s="12"/>
      <c r="F205" s="12" t="s">
        <v>2135</v>
      </c>
      <c r="G205" s="12" t="s">
        <v>2136</v>
      </c>
      <c r="H205" s="12"/>
      <c r="I205" s="12"/>
    </row>
    <row r="206" customFormat="false" ht="24" hidden="false" customHeight="true" outlineLevel="0" collapsed="false">
      <c r="A206" s="12" t="s">
        <v>958</v>
      </c>
      <c r="B206" s="12" t="n">
        <v>2</v>
      </c>
      <c r="C206" s="12" t="s">
        <v>2137</v>
      </c>
      <c r="D206" s="12" t="s">
        <v>2114</v>
      </c>
      <c r="E206" s="12"/>
      <c r="F206" s="12" t="s">
        <v>2138</v>
      </c>
      <c r="G206" s="12" t="s">
        <v>2139</v>
      </c>
      <c r="H206" s="12" t="s">
        <v>2140</v>
      </c>
      <c r="I206" s="12"/>
    </row>
    <row r="207" customFormat="false" ht="24" hidden="false" customHeight="true" outlineLevel="0" collapsed="false">
      <c r="A207" s="12" t="s">
        <v>958</v>
      </c>
      <c r="B207" s="12" t="n">
        <v>3</v>
      </c>
      <c r="C207" s="12" t="s">
        <v>1933</v>
      </c>
      <c r="D207" s="12" t="s">
        <v>2141</v>
      </c>
      <c r="E207" s="12"/>
      <c r="F207" s="12" t="s">
        <v>1935</v>
      </c>
      <c r="G207" s="12" t="s">
        <v>2142</v>
      </c>
      <c r="H207" s="12"/>
      <c r="I207" s="12"/>
    </row>
    <row r="208" customFormat="false" ht="24" hidden="false" customHeight="true" outlineLevel="0" collapsed="false">
      <c r="A208" s="12" t="s">
        <v>958</v>
      </c>
      <c r="B208" s="12" t="n">
        <v>4</v>
      </c>
      <c r="C208" s="12" t="s">
        <v>1937</v>
      </c>
      <c r="D208" s="12" t="s">
        <v>2143</v>
      </c>
      <c r="E208" s="12"/>
      <c r="F208" s="12" t="s">
        <v>1939</v>
      </c>
      <c r="G208" s="12" t="s">
        <v>2144</v>
      </c>
      <c r="H208" s="12"/>
      <c r="I208" s="12"/>
    </row>
    <row r="209" customFormat="false" ht="24" hidden="false" customHeight="true" outlineLevel="0" collapsed="false">
      <c r="A209" s="12" t="s">
        <v>958</v>
      </c>
      <c r="B209" s="12" t="n">
        <v>5</v>
      </c>
      <c r="C209" s="12" t="s">
        <v>1941</v>
      </c>
      <c r="D209" s="12" t="s">
        <v>2145</v>
      </c>
      <c r="E209" s="12"/>
      <c r="F209" s="12" t="s">
        <v>2146</v>
      </c>
      <c r="G209" s="12" t="s">
        <v>1944</v>
      </c>
      <c r="H209" s="12"/>
      <c r="I209" s="12"/>
    </row>
    <row r="210" customFormat="false" ht="24" hidden="false" customHeight="true" outlineLevel="0" collapsed="false">
      <c r="A210" s="12" t="s">
        <v>958</v>
      </c>
      <c r="B210" s="12" t="n">
        <v>6</v>
      </c>
      <c r="C210" s="12" t="s">
        <v>2147</v>
      </c>
      <c r="D210" s="12" t="s">
        <v>2123</v>
      </c>
      <c r="E210" s="12"/>
      <c r="F210" s="12" t="s">
        <v>1946</v>
      </c>
      <c r="G210" s="12" t="s">
        <v>1947</v>
      </c>
      <c r="H210" s="12"/>
      <c r="I210" s="12"/>
    </row>
    <row r="211" customFormat="false" ht="15" hidden="false" customHeight="true" outlineLevel="0" collapsed="false">
      <c r="A211" s="12" t="s">
        <v>958</v>
      </c>
      <c r="B211" s="12" t="n">
        <v>7</v>
      </c>
      <c r="C211" s="12" t="s">
        <v>1950</v>
      </c>
      <c r="D211" s="12" t="s">
        <v>2148</v>
      </c>
      <c r="E211" s="12"/>
      <c r="F211" s="12" t="s">
        <v>2075</v>
      </c>
      <c r="G211" s="12" t="s">
        <v>2149</v>
      </c>
      <c r="H211" s="12"/>
      <c r="I211" s="12"/>
    </row>
    <row r="212" customFormat="false" ht="15" hidden="false" customHeight="true" outlineLevel="0" collapsed="false">
      <c r="A212" s="12" t="s">
        <v>958</v>
      </c>
      <c r="B212" s="12" t="n">
        <v>8</v>
      </c>
      <c r="C212" s="12" t="s">
        <v>1953</v>
      </c>
      <c r="D212" s="12" t="s">
        <v>1544</v>
      </c>
      <c r="E212" s="12"/>
      <c r="F212" s="12" t="s">
        <v>2150</v>
      </c>
      <c r="G212" s="12" t="s">
        <v>1546</v>
      </c>
      <c r="H212" s="12"/>
      <c r="I212" s="12"/>
    </row>
    <row r="213" customFormat="false" ht="24" hidden="false" customHeight="true" outlineLevel="0" collapsed="false">
      <c r="A213" s="12" t="s">
        <v>958</v>
      </c>
      <c r="B213" s="12" t="n">
        <v>9</v>
      </c>
      <c r="C213" s="12" t="s">
        <v>2151</v>
      </c>
      <c r="D213" s="12" t="s">
        <v>1606</v>
      </c>
      <c r="E213" s="12"/>
      <c r="F213" s="12" t="s">
        <v>2152</v>
      </c>
      <c r="G213" s="12" t="s">
        <v>1546</v>
      </c>
      <c r="H213" s="12"/>
      <c r="I213" s="12"/>
    </row>
    <row r="214" customFormat="false" ht="24" hidden="false" customHeight="true" outlineLevel="0" collapsed="false">
      <c r="A214" s="12" t="s">
        <v>958</v>
      </c>
      <c r="B214" s="12" t="n">
        <v>10</v>
      </c>
      <c r="C214" s="12" t="s">
        <v>2153</v>
      </c>
      <c r="D214" s="12" t="s">
        <v>2154</v>
      </c>
      <c r="E214" s="12"/>
      <c r="F214" s="12" t="s">
        <v>2155</v>
      </c>
      <c r="G214" s="12" t="s">
        <v>2156</v>
      </c>
      <c r="H214" s="12"/>
      <c r="I214" s="12"/>
    </row>
    <row r="215" customFormat="false" ht="24" hidden="false" customHeight="true" outlineLevel="0" collapsed="false">
      <c r="A215" s="12" t="s">
        <v>732</v>
      </c>
      <c r="B215" s="12" t="n">
        <v>1</v>
      </c>
      <c r="C215" s="12" t="s">
        <v>2157</v>
      </c>
      <c r="D215" s="12" t="s">
        <v>2042</v>
      </c>
      <c r="E215" s="12"/>
      <c r="F215" s="12" t="s">
        <v>2158</v>
      </c>
      <c r="G215" s="12" t="s">
        <v>2159</v>
      </c>
      <c r="H215" s="12"/>
      <c r="I215" s="12"/>
    </row>
    <row r="216" customFormat="false" ht="24" hidden="false" customHeight="true" outlineLevel="0" collapsed="false">
      <c r="A216" s="12" t="s">
        <v>732</v>
      </c>
      <c r="B216" s="12" t="n">
        <v>2</v>
      </c>
      <c r="C216" s="12" t="s">
        <v>2046</v>
      </c>
      <c r="D216" s="12" t="s">
        <v>2160</v>
      </c>
      <c r="E216" s="12"/>
      <c r="F216" s="12" t="s">
        <v>2048</v>
      </c>
      <c r="G216" s="12" t="s">
        <v>2049</v>
      </c>
      <c r="H216" s="12" t="s">
        <v>2050</v>
      </c>
      <c r="I216" s="12"/>
    </row>
    <row r="217" customFormat="false" ht="24" hidden="false" customHeight="true" outlineLevel="0" collapsed="false">
      <c r="A217" s="12" t="s">
        <v>732</v>
      </c>
      <c r="B217" s="12" t="n">
        <v>3</v>
      </c>
      <c r="C217" s="12" t="s">
        <v>2161</v>
      </c>
      <c r="D217" s="12" t="s">
        <v>2162</v>
      </c>
      <c r="E217" s="12"/>
      <c r="F217" s="12" t="s">
        <v>2163</v>
      </c>
      <c r="G217" s="12" t="s">
        <v>2164</v>
      </c>
      <c r="H217" s="12"/>
      <c r="I217" s="12"/>
    </row>
    <row r="218" customFormat="false" ht="24" hidden="false" customHeight="true" outlineLevel="0" collapsed="false">
      <c r="A218" s="12" t="s">
        <v>732</v>
      </c>
      <c r="B218" s="12" t="n">
        <v>4</v>
      </c>
      <c r="C218" s="12" t="s">
        <v>2165</v>
      </c>
      <c r="D218" s="12" t="s">
        <v>2166</v>
      </c>
      <c r="E218" s="12"/>
      <c r="F218" s="12" t="s">
        <v>2167</v>
      </c>
      <c r="G218" s="12" t="s">
        <v>2168</v>
      </c>
      <c r="H218" s="12" t="s">
        <v>2169</v>
      </c>
      <c r="I218" s="12"/>
    </row>
    <row r="219" customFormat="false" ht="24" hidden="false" customHeight="true" outlineLevel="0" collapsed="false">
      <c r="A219" s="12" t="s">
        <v>732</v>
      </c>
      <c r="B219" s="12" t="n">
        <v>5</v>
      </c>
      <c r="C219" s="12" t="s">
        <v>2170</v>
      </c>
      <c r="D219" s="12" t="s">
        <v>2171</v>
      </c>
      <c r="E219" s="12"/>
      <c r="F219" s="12" t="s">
        <v>2172</v>
      </c>
      <c r="G219" s="12" t="s">
        <v>2173</v>
      </c>
      <c r="H219" s="12"/>
      <c r="I219" s="12"/>
    </row>
    <row r="220" customFormat="false" ht="24" hidden="false" customHeight="true" outlineLevel="0" collapsed="false">
      <c r="A220" s="12" t="s">
        <v>732</v>
      </c>
      <c r="B220" s="12" t="n">
        <v>6</v>
      </c>
      <c r="C220" s="12" t="s">
        <v>2174</v>
      </c>
      <c r="D220" s="12" t="s">
        <v>2175</v>
      </c>
      <c r="E220" s="12"/>
      <c r="F220" s="12" t="s">
        <v>2176</v>
      </c>
      <c r="G220" s="12" t="s">
        <v>1654</v>
      </c>
      <c r="H220" s="12" t="s">
        <v>1655</v>
      </c>
      <c r="I220" s="12"/>
    </row>
    <row r="221" customFormat="false" ht="24" hidden="false" customHeight="true" outlineLevel="0" collapsed="false">
      <c r="A221" s="12" t="s">
        <v>732</v>
      </c>
      <c r="B221" s="12" t="n">
        <v>7</v>
      </c>
      <c r="C221" s="12" t="s">
        <v>2058</v>
      </c>
      <c r="D221" s="12" t="s">
        <v>2059</v>
      </c>
      <c r="E221" s="12"/>
      <c r="F221" s="12" t="s">
        <v>2060</v>
      </c>
      <c r="G221" s="12" t="s">
        <v>2061</v>
      </c>
      <c r="H221" s="12"/>
      <c r="I221" s="12"/>
    </row>
    <row r="222" customFormat="false" ht="24" hidden="false" customHeight="true" outlineLevel="0" collapsed="false">
      <c r="A222" s="12" t="s">
        <v>732</v>
      </c>
      <c r="B222" s="12" t="n">
        <v>8</v>
      </c>
      <c r="C222" s="12" t="s">
        <v>2063</v>
      </c>
      <c r="D222" s="12" t="s">
        <v>2177</v>
      </c>
      <c r="E222" s="12"/>
      <c r="F222" s="12" t="s">
        <v>1762</v>
      </c>
      <c r="G222" s="12" t="s">
        <v>1763</v>
      </c>
      <c r="H222" s="12"/>
      <c r="I222" s="12"/>
    </row>
    <row r="223" customFormat="false" ht="15" hidden="false" customHeight="true" outlineLevel="0" collapsed="false">
      <c r="A223" s="12" t="s">
        <v>732</v>
      </c>
      <c r="B223" s="12" t="n">
        <v>9</v>
      </c>
      <c r="C223" s="12" t="s">
        <v>2065</v>
      </c>
      <c r="D223" s="12" t="s">
        <v>1544</v>
      </c>
      <c r="E223" s="12"/>
      <c r="F223" s="12" t="s">
        <v>2178</v>
      </c>
      <c r="G223" s="12" t="s">
        <v>1546</v>
      </c>
      <c r="H223" s="12"/>
      <c r="I223" s="12"/>
    </row>
    <row r="224" customFormat="false" ht="24" hidden="false" customHeight="true" outlineLevel="0" collapsed="false">
      <c r="A224" s="12" t="s">
        <v>732</v>
      </c>
      <c r="B224" s="12" t="n">
        <v>10</v>
      </c>
      <c r="C224" s="12" t="s">
        <v>2069</v>
      </c>
      <c r="D224" s="12" t="s">
        <v>2070</v>
      </c>
      <c r="E224" s="12"/>
      <c r="F224" s="12" t="s">
        <v>2071</v>
      </c>
      <c r="G224" s="12" t="s">
        <v>1649</v>
      </c>
      <c r="H224" s="12" t="s">
        <v>2072</v>
      </c>
      <c r="I224" s="12"/>
    </row>
    <row r="225" customFormat="false" ht="24" hidden="false" customHeight="true" outlineLevel="0" collapsed="false">
      <c r="A225" s="12" t="s">
        <v>974</v>
      </c>
      <c r="B225" s="12" t="n">
        <v>1</v>
      </c>
      <c r="C225" s="12" t="s">
        <v>2077</v>
      </c>
      <c r="D225" s="12" t="s">
        <v>2078</v>
      </c>
      <c r="E225" s="12"/>
      <c r="F225" s="12" t="s">
        <v>2079</v>
      </c>
      <c r="G225" s="12" t="s">
        <v>2179</v>
      </c>
      <c r="H225" s="12"/>
      <c r="I225" s="12"/>
    </row>
    <row r="226" customFormat="false" ht="24" hidden="false" customHeight="true" outlineLevel="0" collapsed="false">
      <c r="A226" s="12" t="s">
        <v>974</v>
      </c>
      <c r="B226" s="12" t="n">
        <v>2</v>
      </c>
      <c r="C226" s="12" t="s">
        <v>2180</v>
      </c>
      <c r="D226" s="12" t="s">
        <v>2181</v>
      </c>
      <c r="E226" s="12"/>
      <c r="F226" s="12" t="s">
        <v>2079</v>
      </c>
      <c r="G226" s="12" t="s">
        <v>2182</v>
      </c>
      <c r="H226" s="12"/>
      <c r="I226" s="12"/>
    </row>
    <row r="227" customFormat="false" ht="24" hidden="false" customHeight="true" outlineLevel="0" collapsed="false">
      <c r="A227" s="12" t="s">
        <v>974</v>
      </c>
      <c r="B227" s="12" t="n">
        <v>3</v>
      </c>
      <c r="C227" s="12" t="s">
        <v>2183</v>
      </c>
      <c r="D227" s="12" t="s">
        <v>2184</v>
      </c>
      <c r="E227" s="12"/>
      <c r="F227" s="12" t="s">
        <v>2185</v>
      </c>
      <c r="G227" s="12" t="s">
        <v>2186</v>
      </c>
      <c r="H227" s="12"/>
      <c r="I227" s="12"/>
    </row>
    <row r="228" customFormat="false" ht="15" hidden="false" customHeight="true" outlineLevel="0" collapsed="false">
      <c r="A228" s="12" t="s">
        <v>974</v>
      </c>
      <c r="B228" s="12" t="n">
        <v>4</v>
      </c>
      <c r="C228" s="12" t="s">
        <v>2081</v>
      </c>
      <c r="D228" s="12" t="s">
        <v>2082</v>
      </c>
      <c r="E228" s="12"/>
      <c r="F228" s="12" t="s">
        <v>2079</v>
      </c>
      <c r="G228" s="12" t="s">
        <v>2083</v>
      </c>
      <c r="H228" s="12"/>
      <c r="I228" s="12"/>
    </row>
    <row r="229" customFormat="false" ht="24" hidden="false" customHeight="true" outlineLevel="0" collapsed="false">
      <c r="A229" s="12" t="s">
        <v>974</v>
      </c>
      <c r="B229" s="12" t="n">
        <v>5</v>
      </c>
      <c r="C229" s="12" t="s">
        <v>2187</v>
      </c>
      <c r="D229" s="12" t="s">
        <v>2188</v>
      </c>
      <c r="E229" s="12"/>
      <c r="F229" s="12" t="s">
        <v>2086</v>
      </c>
      <c r="G229" s="12" t="s">
        <v>2087</v>
      </c>
      <c r="H229" s="12"/>
      <c r="I229" s="12"/>
    </row>
    <row r="230" customFormat="false" ht="24" hidden="false" customHeight="true" outlineLevel="0" collapsed="false">
      <c r="A230" s="12" t="s">
        <v>974</v>
      </c>
      <c r="B230" s="12" t="n">
        <v>6</v>
      </c>
      <c r="C230" s="12" t="s">
        <v>2189</v>
      </c>
      <c r="D230" s="12" t="s">
        <v>2190</v>
      </c>
      <c r="E230" s="12"/>
      <c r="F230" s="12" t="s">
        <v>2079</v>
      </c>
      <c r="G230" s="12" t="s">
        <v>2191</v>
      </c>
      <c r="H230" s="12"/>
      <c r="I230" s="12"/>
    </row>
    <row r="231" customFormat="false" ht="24" hidden="false" customHeight="true" outlineLevel="0" collapsed="false">
      <c r="A231" s="12" t="s">
        <v>974</v>
      </c>
      <c r="B231" s="12" t="n">
        <v>7</v>
      </c>
      <c r="C231" s="12" t="s">
        <v>2095</v>
      </c>
      <c r="D231" s="12" t="s">
        <v>2096</v>
      </c>
      <c r="E231" s="12"/>
      <c r="F231" s="12" t="s">
        <v>2097</v>
      </c>
      <c r="G231" s="12" t="s">
        <v>2098</v>
      </c>
      <c r="H231" s="12"/>
      <c r="I231" s="12"/>
    </row>
    <row r="232" customFormat="false" ht="15" hidden="false" customHeight="true" outlineLevel="0" collapsed="false">
      <c r="A232" s="12" t="s">
        <v>974</v>
      </c>
      <c r="B232" s="12" t="n">
        <v>8</v>
      </c>
      <c r="C232" s="12" t="s">
        <v>1682</v>
      </c>
      <c r="D232" s="12" t="s">
        <v>1544</v>
      </c>
      <c r="E232" s="12"/>
      <c r="F232" s="12" t="s">
        <v>2102</v>
      </c>
      <c r="G232" s="12" t="s">
        <v>1546</v>
      </c>
      <c r="H232" s="12"/>
      <c r="I232" s="12"/>
    </row>
    <row r="233" customFormat="false" ht="24" hidden="false" customHeight="true" outlineLevel="0" collapsed="false">
      <c r="A233" s="12" t="s">
        <v>974</v>
      </c>
      <c r="B233" s="12" t="n">
        <v>9</v>
      </c>
      <c r="C233" s="12" t="s">
        <v>2103</v>
      </c>
      <c r="D233" s="12" t="s">
        <v>2092</v>
      </c>
      <c r="E233" s="12"/>
      <c r="F233" s="12" t="s">
        <v>1690</v>
      </c>
      <c r="G233" s="12" t="s">
        <v>2104</v>
      </c>
      <c r="H233" s="12"/>
      <c r="I233" s="12"/>
    </row>
    <row r="234" customFormat="false" ht="15" hidden="false" customHeight="true" outlineLevel="0" collapsed="false">
      <c r="A234" s="12" t="s">
        <v>974</v>
      </c>
      <c r="B234" s="12" t="n">
        <v>10</v>
      </c>
      <c r="C234" s="12" t="s">
        <v>2105</v>
      </c>
      <c r="D234" s="12" t="s">
        <v>2192</v>
      </c>
      <c r="E234" s="12"/>
      <c r="F234" s="12" t="s">
        <v>2079</v>
      </c>
      <c r="G234" s="12" t="s">
        <v>2193</v>
      </c>
      <c r="H234" s="12"/>
      <c r="I234" s="12"/>
    </row>
    <row r="235" customFormat="false" ht="24" hidden="false" customHeight="true" outlineLevel="0" collapsed="false">
      <c r="A235" s="12" t="s">
        <v>982</v>
      </c>
      <c r="B235" s="12" t="n">
        <v>1</v>
      </c>
      <c r="C235" s="12" t="s">
        <v>2194</v>
      </c>
      <c r="D235" s="12" t="s">
        <v>2195</v>
      </c>
      <c r="E235" s="12"/>
      <c r="F235" s="12" t="s">
        <v>2196</v>
      </c>
      <c r="G235" s="12" t="s">
        <v>2112</v>
      </c>
      <c r="H235" s="12"/>
      <c r="I235" s="12"/>
    </row>
    <row r="236" customFormat="false" ht="24" hidden="false" customHeight="true" outlineLevel="0" collapsed="false">
      <c r="A236" s="12" t="s">
        <v>982</v>
      </c>
      <c r="B236" s="12" t="n">
        <v>2</v>
      </c>
      <c r="C236" s="12" t="s">
        <v>2113</v>
      </c>
      <c r="D236" s="12" t="s">
        <v>2197</v>
      </c>
      <c r="E236" s="12"/>
      <c r="F236" s="12" t="s">
        <v>2115</v>
      </c>
      <c r="G236" s="12" t="s">
        <v>2198</v>
      </c>
      <c r="H236" s="12"/>
      <c r="I236" s="12"/>
    </row>
    <row r="237" customFormat="false" ht="24" hidden="false" customHeight="true" outlineLevel="0" collapsed="false">
      <c r="A237" s="12" t="s">
        <v>982</v>
      </c>
      <c r="B237" s="12" t="n">
        <v>3</v>
      </c>
      <c r="C237" s="12" t="s">
        <v>2199</v>
      </c>
      <c r="D237" s="12" t="s">
        <v>2200</v>
      </c>
      <c r="E237" s="12"/>
      <c r="F237" s="12" t="s">
        <v>2196</v>
      </c>
      <c r="G237" s="12" t="s">
        <v>2201</v>
      </c>
      <c r="H237" s="12"/>
      <c r="I237" s="12"/>
    </row>
    <row r="238" customFormat="false" ht="24" hidden="false" customHeight="true" outlineLevel="0" collapsed="false">
      <c r="A238" s="12" t="s">
        <v>982</v>
      </c>
      <c r="B238" s="12" t="n">
        <v>4</v>
      </c>
      <c r="C238" s="12" t="s">
        <v>2202</v>
      </c>
      <c r="D238" s="12" t="s">
        <v>2203</v>
      </c>
      <c r="E238" s="12"/>
      <c r="F238" s="12" t="s">
        <v>2204</v>
      </c>
      <c r="G238" s="12" t="s">
        <v>2205</v>
      </c>
      <c r="H238" s="12"/>
      <c r="I238" s="12"/>
    </row>
    <row r="239" customFormat="false" ht="24" hidden="false" customHeight="true" outlineLevel="0" collapsed="false">
      <c r="A239" s="12" t="s">
        <v>982</v>
      </c>
      <c r="B239" s="12" t="n">
        <v>5</v>
      </c>
      <c r="C239" s="12" t="s">
        <v>2117</v>
      </c>
      <c r="D239" s="12" t="s">
        <v>2206</v>
      </c>
      <c r="E239" s="12"/>
      <c r="F239" s="12" t="s">
        <v>1710</v>
      </c>
      <c r="G239" s="12" t="s">
        <v>1641</v>
      </c>
      <c r="H239" s="12"/>
      <c r="I239" s="12"/>
    </row>
    <row r="240" customFormat="false" ht="24" hidden="false" customHeight="true" outlineLevel="0" collapsed="false">
      <c r="A240" s="12" t="s">
        <v>982</v>
      </c>
      <c r="B240" s="12" t="n">
        <v>6</v>
      </c>
      <c r="C240" s="12" t="s">
        <v>2207</v>
      </c>
      <c r="D240" s="12" t="s">
        <v>2208</v>
      </c>
      <c r="E240" s="12"/>
      <c r="F240" s="12" t="s">
        <v>1915</v>
      </c>
      <c r="G240" s="12" t="s">
        <v>1546</v>
      </c>
      <c r="H240" s="12"/>
      <c r="I240" s="12"/>
    </row>
    <row r="241" customFormat="false" ht="24" hidden="false" customHeight="true" outlineLevel="0" collapsed="false">
      <c r="A241" s="12" t="s">
        <v>982</v>
      </c>
      <c r="B241" s="12" t="n">
        <v>7</v>
      </c>
      <c r="C241" s="12" t="s">
        <v>1719</v>
      </c>
      <c r="D241" s="12" t="s">
        <v>2125</v>
      </c>
      <c r="E241" s="12"/>
      <c r="F241" s="12" t="s">
        <v>1721</v>
      </c>
      <c r="G241" s="12" t="s">
        <v>2126</v>
      </c>
      <c r="H241" s="12"/>
      <c r="I241" s="12"/>
    </row>
    <row r="242" customFormat="false" ht="24" hidden="false" customHeight="true" outlineLevel="0" collapsed="false">
      <c r="A242" s="12" t="s">
        <v>982</v>
      </c>
      <c r="B242" s="12" t="n">
        <v>8</v>
      </c>
      <c r="C242" s="12" t="s">
        <v>1919</v>
      </c>
      <c r="D242" s="12" t="s">
        <v>2127</v>
      </c>
      <c r="E242" s="12"/>
      <c r="F242" s="12" t="s">
        <v>1978</v>
      </c>
      <c r="G242" s="12" t="s">
        <v>1979</v>
      </c>
      <c r="H242" s="12"/>
      <c r="I242" s="12"/>
    </row>
    <row r="243" customFormat="false" ht="15" hidden="false" customHeight="true" outlineLevel="0" collapsed="false">
      <c r="A243" s="12" t="s">
        <v>982</v>
      </c>
      <c r="B243" s="12" t="n">
        <v>9</v>
      </c>
      <c r="C243" s="12" t="s">
        <v>1920</v>
      </c>
      <c r="D243" s="12" t="s">
        <v>1544</v>
      </c>
      <c r="E243" s="12"/>
      <c r="F243" s="12" t="s">
        <v>2209</v>
      </c>
      <c r="G243" s="12" t="s">
        <v>1546</v>
      </c>
      <c r="H243" s="12"/>
      <c r="I243" s="12"/>
    </row>
    <row r="244" customFormat="false" ht="24" hidden="false" customHeight="true" outlineLevel="0" collapsed="false">
      <c r="A244" s="12" t="s">
        <v>982</v>
      </c>
      <c r="B244" s="12" t="n">
        <v>10</v>
      </c>
      <c r="C244" s="12" t="s">
        <v>2131</v>
      </c>
      <c r="D244" s="12" t="s">
        <v>2132</v>
      </c>
      <c r="E244" s="12"/>
      <c r="F244" s="12" t="s">
        <v>1710</v>
      </c>
      <c r="G244" s="12" t="s">
        <v>1718</v>
      </c>
      <c r="H244" s="12"/>
      <c r="I244" s="12"/>
    </row>
    <row r="245" customFormat="false" ht="24" hidden="false" customHeight="true" outlineLevel="0" collapsed="false">
      <c r="A245" s="12" t="s">
        <v>989</v>
      </c>
      <c r="B245" s="12" t="n">
        <v>1</v>
      </c>
      <c r="C245" s="12" t="s">
        <v>2133</v>
      </c>
      <c r="D245" s="12" t="s">
        <v>2210</v>
      </c>
      <c r="E245" s="12"/>
      <c r="F245" s="12" t="s">
        <v>2211</v>
      </c>
      <c r="G245" s="12" t="s">
        <v>2212</v>
      </c>
      <c r="H245" s="12"/>
      <c r="I245" s="12"/>
    </row>
    <row r="246" customFormat="false" ht="24" hidden="false" customHeight="true" outlineLevel="0" collapsed="false">
      <c r="A246" s="12" t="s">
        <v>989</v>
      </c>
      <c r="B246" s="12" t="n">
        <v>2</v>
      </c>
      <c r="C246" s="12" t="s">
        <v>2137</v>
      </c>
      <c r="D246" s="12" t="s">
        <v>2213</v>
      </c>
      <c r="E246" s="12"/>
      <c r="F246" s="12" t="s">
        <v>2214</v>
      </c>
      <c r="G246" s="12" t="s">
        <v>2139</v>
      </c>
      <c r="H246" s="12" t="s">
        <v>2215</v>
      </c>
      <c r="I246" s="12"/>
    </row>
    <row r="247" customFormat="false" ht="24" hidden="false" customHeight="true" outlineLevel="0" collapsed="false">
      <c r="A247" s="12" t="s">
        <v>989</v>
      </c>
      <c r="B247" s="12" t="n">
        <v>3</v>
      </c>
      <c r="C247" s="12" t="s">
        <v>2216</v>
      </c>
      <c r="D247" s="12" t="s">
        <v>2217</v>
      </c>
      <c r="E247" s="12"/>
      <c r="F247" s="12" t="s">
        <v>2214</v>
      </c>
      <c r="G247" s="12" t="s">
        <v>2139</v>
      </c>
      <c r="H247" s="12" t="s">
        <v>2218</v>
      </c>
      <c r="I247" s="12"/>
    </row>
    <row r="248" customFormat="false" ht="24" hidden="false" customHeight="true" outlineLevel="0" collapsed="false">
      <c r="A248" s="12" t="s">
        <v>989</v>
      </c>
      <c r="B248" s="12" t="n">
        <v>4</v>
      </c>
      <c r="C248" s="12" t="s">
        <v>1933</v>
      </c>
      <c r="D248" s="12" t="s">
        <v>2141</v>
      </c>
      <c r="E248" s="12"/>
      <c r="F248" s="12" t="s">
        <v>1935</v>
      </c>
      <c r="G248" s="12" t="s">
        <v>2142</v>
      </c>
      <c r="H248" s="12"/>
      <c r="I248" s="12"/>
    </row>
    <row r="249" customFormat="false" ht="24" hidden="false" customHeight="true" outlineLevel="0" collapsed="false">
      <c r="A249" s="12" t="s">
        <v>989</v>
      </c>
      <c r="B249" s="12" t="n">
        <v>5</v>
      </c>
      <c r="C249" s="12" t="s">
        <v>1937</v>
      </c>
      <c r="D249" s="12" t="s">
        <v>2143</v>
      </c>
      <c r="E249" s="12"/>
      <c r="F249" s="12" t="s">
        <v>1939</v>
      </c>
      <c r="G249" s="12" t="s">
        <v>2144</v>
      </c>
      <c r="H249" s="12"/>
      <c r="I249" s="12"/>
    </row>
    <row r="250" customFormat="false" ht="24" hidden="false" customHeight="true" outlineLevel="0" collapsed="false">
      <c r="A250" s="12" t="s">
        <v>989</v>
      </c>
      <c r="B250" s="12" t="n">
        <v>6</v>
      </c>
      <c r="C250" s="12" t="s">
        <v>1941</v>
      </c>
      <c r="D250" s="12" t="s">
        <v>2145</v>
      </c>
      <c r="E250" s="12"/>
      <c r="F250" s="12" t="s">
        <v>2146</v>
      </c>
      <c r="G250" s="12" t="s">
        <v>1944</v>
      </c>
      <c r="H250" s="12"/>
      <c r="I250" s="12"/>
    </row>
    <row r="251" customFormat="false" ht="24" hidden="false" customHeight="true" outlineLevel="0" collapsed="false">
      <c r="A251" s="12" t="s">
        <v>989</v>
      </c>
      <c r="B251" s="12" t="n">
        <v>7</v>
      </c>
      <c r="C251" s="12" t="s">
        <v>2147</v>
      </c>
      <c r="D251" s="12" t="s">
        <v>2208</v>
      </c>
      <c r="E251" s="12"/>
      <c r="F251" s="12" t="s">
        <v>1946</v>
      </c>
      <c r="G251" s="12" t="s">
        <v>1947</v>
      </c>
      <c r="H251" s="12"/>
      <c r="I251" s="12"/>
    </row>
    <row r="252" customFormat="false" ht="15" hidden="false" customHeight="true" outlineLevel="0" collapsed="false">
      <c r="A252" s="12" t="s">
        <v>989</v>
      </c>
      <c r="B252" s="12" t="n">
        <v>8</v>
      </c>
      <c r="C252" s="12" t="s">
        <v>1950</v>
      </c>
      <c r="D252" s="12" t="s">
        <v>2192</v>
      </c>
      <c r="E252" s="12"/>
      <c r="F252" s="12" t="s">
        <v>2075</v>
      </c>
      <c r="G252" s="12" t="s">
        <v>2219</v>
      </c>
      <c r="H252" s="12"/>
      <c r="I252" s="12"/>
    </row>
    <row r="253" customFormat="false" ht="15" hidden="false" customHeight="true" outlineLevel="0" collapsed="false">
      <c r="A253" s="12" t="s">
        <v>989</v>
      </c>
      <c r="B253" s="12" t="n">
        <v>9</v>
      </c>
      <c r="C253" s="12" t="s">
        <v>1953</v>
      </c>
      <c r="D253" s="12" t="s">
        <v>1544</v>
      </c>
      <c r="E253" s="12"/>
      <c r="F253" s="12" t="s">
        <v>2220</v>
      </c>
      <c r="G253" s="12" t="s">
        <v>1546</v>
      </c>
      <c r="H253" s="12"/>
      <c r="I253" s="12"/>
    </row>
    <row r="254" customFormat="false" ht="24" hidden="false" customHeight="true" outlineLevel="0" collapsed="false">
      <c r="A254" s="12" t="s">
        <v>989</v>
      </c>
      <c r="B254" s="12" t="n">
        <v>10</v>
      </c>
      <c r="C254" s="12" t="s">
        <v>2153</v>
      </c>
      <c r="D254" s="12" t="s">
        <v>2221</v>
      </c>
      <c r="E254" s="12"/>
      <c r="F254" s="12" t="s">
        <v>2222</v>
      </c>
      <c r="G254" s="12" t="s">
        <v>2223</v>
      </c>
      <c r="H254" s="12"/>
      <c r="I254" s="12"/>
    </row>
    <row r="255" customFormat="false" ht="24" hidden="false" customHeight="true" outlineLevel="0" collapsed="false">
      <c r="A255" s="12" t="s">
        <v>735</v>
      </c>
      <c r="B255" s="12" t="n">
        <v>1</v>
      </c>
      <c r="C255" s="12" t="s">
        <v>2224</v>
      </c>
      <c r="D255" s="12" t="s">
        <v>2042</v>
      </c>
      <c r="E255" s="12"/>
      <c r="F255" s="12" t="s">
        <v>2225</v>
      </c>
      <c r="G255" s="12" t="s">
        <v>2044</v>
      </c>
      <c r="H255" s="12" t="s">
        <v>2045</v>
      </c>
      <c r="I255" s="12"/>
    </row>
    <row r="256" customFormat="false" ht="24" hidden="false" customHeight="true" outlineLevel="0" collapsed="false">
      <c r="A256" s="12" t="s">
        <v>735</v>
      </c>
      <c r="B256" s="12" t="n">
        <v>2</v>
      </c>
      <c r="C256" s="12" t="s">
        <v>2046</v>
      </c>
      <c r="D256" s="12" t="s">
        <v>2047</v>
      </c>
      <c r="E256" s="12"/>
      <c r="F256" s="12" t="s">
        <v>2048</v>
      </c>
      <c r="G256" s="12" t="s">
        <v>2049</v>
      </c>
      <c r="H256" s="12" t="s">
        <v>2050</v>
      </c>
      <c r="I256" s="12"/>
    </row>
    <row r="257" customFormat="false" ht="24" hidden="false" customHeight="true" outlineLevel="0" collapsed="false">
      <c r="A257" s="12" t="s">
        <v>735</v>
      </c>
      <c r="B257" s="12" t="n">
        <v>3</v>
      </c>
      <c r="C257" s="12" t="s">
        <v>2226</v>
      </c>
      <c r="D257" s="12" t="s">
        <v>2227</v>
      </c>
      <c r="E257" s="12"/>
      <c r="F257" s="12" t="s">
        <v>2228</v>
      </c>
      <c r="G257" s="12" t="s">
        <v>2229</v>
      </c>
      <c r="H257" s="12" t="s">
        <v>1659</v>
      </c>
      <c r="I257" s="12"/>
    </row>
    <row r="258" customFormat="false" ht="24" hidden="false" customHeight="true" outlineLevel="0" collapsed="false">
      <c r="A258" s="12" t="s">
        <v>735</v>
      </c>
      <c r="B258" s="12" t="n">
        <v>4</v>
      </c>
      <c r="C258" s="12" t="s">
        <v>2230</v>
      </c>
      <c r="D258" s="12" t="s">
        <v>2231</v>
      </c>
      <c r="E258" s="12"/>
      <c r="F258" s="12" t="s">
        <v>2056</v>
      </c>
      <c r="G258" s="12" t="s">
        <v>1654</v>
      </c>
      <c r="H258" s="12" t="s">
        <v>1655</v>
      </c>
      <c r="I258" s="12"/>
    </row>
    <row r="259" customFormat="false" ht="24" hidden="false" customHeight="true" outlineLevel="0" collapsed="false">
      <c r="A259" s="12" t="s">
        <v>735</v>
      </c>
      <c r="B259" s="12" t="n">
        <v>5</v>
      </c>
      <c r="C259" s="12" t="s">
        <v>2232</v>
      </c>
      <c r="D259" s="12" t="s">
        <v>2233</v>
      </c>
      <c r="E259" s="12"/>
      <c r="F259" s="12" t="s">
        <v>2234</v>
      </c>
      <c r="G259" s="12" t="s">
        <v>2235</v>
      </c>
      <c r="H259" s="12" t="s">
        <v>2236</v>
      </c>
      <c r="I259" s="12"/>
    </row>
    <row r="260" customFormat="false" ht="24" hidden="false" customHeight="true" outlineLevel="0" collapsed="false">
      <c r="A260" s="12" t="s">
        <v>735</v>
      </c>
      <c r="B260" s="12" t="n">
        <v>6</v>
      </c>
      <c r="C260" s="12" t="s">
        <v>2054</v>
      </c>
      <c r="D260" s="12" t="s">
        <v>2237</v>
      </c>
      <c r="E260" s="12"/>
      <c r="F260" s="12" t="s">
        <v>2056</v>
      </c>
      <c r="G260" s="12" t="s">
        <v>1641</v>
      </c>
      <c r="H260" s="12" t="s">
        <v>2057</v>
      </c>
      <c r="I260" s="12"/>
    </row>
    <row r="261" customFormat="false" ht="24" hidden="false" customHeight="true" outlineLevel="0" collapsed="false">
      <c r="A261" s="12" t="s">
        <v>735</v>
      </c>
      <c r="B261" s="12" t="n">
        <v>7</v>
      </c>
      <c r="C261" s="12" t="s">
        <v>2063</v>
      </c>
      <c r="D261" s="12" t="s">
        <v>2238</v>
      </c>
      <c r="E261" s="12"/>
      <c r="F261" s="12" t="s">
        <v>1978</v>
      </c>
      <c r="G261" s="12" t="s">
        <v>1979</v>
      </c>
      <c r="H261" s="12"/>
      <c r="I261" s="12"/>
    </row>
    <row r="262" customFormat="false" ht="15" hidden="false" customHeight="true" outlineLevel="0" collapsed="false">
      <c r="A262" s="12" t="s">
        <v>735</v>
      </c>
      <c r="B262" s="12" t="n">
        <v>8</v>
      </c>
      <c r="C262" s="12" t="s">
        <v>2065</v>
      </c>
      <c r="D262" s="12" t="s">
        <v>1544</v>
      </c>
      <c r="E262" s="12"/>
      <c r="F262" s="12" t="s">
        <v>2239</v>
      </c>
      <c r="G262" s="12" t="s">
        <v>1546</v>
      </c>
      <c r="H262" s="12"/>
      <c r="I262" s="12"/>
    </row>
    <row r="263" customFormat="false" ht="24" hidden="false" customHeight="true" outlineLevel="0" collapsed="false">
      <c r="A263" s="12" t="s">
        <v>735</v>
      </c>
      <c r="B263" s="12" t="n">
        <v>9</v>
      </c>
      <c r="C263" s="12" t="s">
        <v>2069</v>
      </c>
      <c r="D263" s="12" t="s">
        <v>2070</v>
      </c>
      <c r="E263" s="12"/>
      <c r="F263" s="12" t="s">
        <v>2071</v>
      </c>
      <c r="G263" s="12" t="s">
        <v>1649</v>
      </c>
      <c r="H263" s="12" t="s">
        <v>2072</v>
      </c>
      <c r="I263" s="12"/>
    </row>
    <row r="264" customFormat="false" ht="15" hidden="false" customHeight="true" outlineLevel="0" collapsed="false">
      <c r="A264" s="12" t="s">
        <v>735</v>
      </c>
      <c r="B264" s="12" t="n">
        <v>10</v>
      </c>
      <c r="C264" s="12" t="s">
        <v>2073</v>
      </c>
      <c r="D264" s="12" t="s">
        <v>2240</v>
      </c>
      <c r="E264" s="12"/>
      <c r="F264" s="12" t="s">
        <v>2075</v>
      </c>
      <c r="G264" s="12" t="s">
        <v>2241</v>
      </c>
      <c r="H264" s="12"/>
      <c r="I264" s="12"/>
    </row>
    <row r="265" customFormat="false" ht="24" hidden="false" customHeight="true" outlineLevel="0" collapsed="false">
      <c r="A265" s="12" t="s">
        <v>1004</v>
      </c>
      <c r="B265" s="12" t="n">
        <v>1</v>
      </c>
      <c r="C265" s="12" t="s">
        <v>2077</v>
      </c>
      <c r="D265" s="12" t="s">
        <v>2078</v>
      </c>
      <c r="E265" s="12"/>
      <c r="F265" s="12" t="s">
        <v>2079</v>
      </c>
      <c r="G265" s="12" t="s">
        <v>2242</v>
      </c>
      <c r="H265" s="12"/>
      <c r="I265" s="12"/>
    </row>
    <row r="266" customFormat="false" ht="24" hidden="false" customHeight="true" outlineLevel="0" collapsed="false">
      <c r="A266" s="12" t="s">
        <v>1004</v>
      </c>
      <c r="B266" s="12" t="n">
        <v>2</v>
      </c>
      <c r="C266" s="12" t="s">
        <v>2243</v>
      </c>
      <c r="D266" s="12" t="s">
        <v>2244</v>
      </c>
      <c r="E266" s="12"/>
      <c r="F266" s="12" t="s">
        <v>2093</v>
      </c>
      <c r="G266" s="12" t="s">
        <v>2245</v>
      </c>
      <c r="H266" s="12" t="s">
        <v>2246</v>
      </c>
      <c r="I266" s="12"/>
    </row>
    <row r="267" customFormat="false" ht="15" hidden="false" customHeight="true" outlineLevel="0" collapsed="false">
      <c r="A267" s="12" t="s">
        <v>1004</v>
      </c>
      <c r="B267" s="12" t="n">
        <v>3</v>
      </c>
      <c r="C267" s="12" t="s">
        <v>2081</v>
      </c>
      <c r="D267" s="12" t="s">
        <v>2082</v>
      </c>
      <c r="E267" s="12"/>
      <c r="F267" s="12" t="s">
        <v>2079</v>
      </c>
      <c r="G267" s="12" t="s">
        <v>2083</v>
      </c>
      <c r="H267" s="12"/>
      <c r="I267" s="12"/>
    </row>
    <row r="268" customFormat="false" ht="24" hidden="false" customHeight="true" outlineLevel="0" collapsed="false">
      <c r="A268" s="12" t="s">
        <v>1004</v>
      </c>
      <c r="B268" s="12" t="n">
        <v>4</v>
      </c>
      <c r="C268" s="12" t="s">
        <v>2247</v>
      </c>
      <c r="D268" s="12" t="s">
        <v>2248</v>
      </c>
      <c r="E268" s="12"/>
      <c r="F268" s="12" t="s">
        <v>2249</v>
      </c>
      <c r="G268" s="12" t="s">
        <v>2250</v>
      </c>
      <c r="H268" s="12"/>
      <c r="I268" s="12"/>
    </row>
    <row r="269" customFormat="false" ht="24" hidden="false" customHeight="true" outlineLevel="0" collapsed="false">
      <c r="A269" s="12" t="s">
        <v>1004</v>
      </c>
      <c r="B269" s="12" t="n">
        <v>5</v>
      </c>
      <c r="C269" s="12" t="s">
        <v>2251</v>
      </c>
      <c r="D269" s="12" t="s">
        <v>2252</v>
      </c>
      <c r="E269" s="12"/>
      <c r="F269" s="12" t="s">
        <v>2253</v>
      </c>
      <c r="G269" s="12" t="s">
        <v>2254</v>
      </c>
      <c r="H269" s="12"/>
      <c r="I269" s="12"/>
    </row>
    <row r="270" customFormat="false" ht="15" hidden="false" customHeight="true" outlineLevel="0" collapsed="false">
      <c r="A270" s="12" t="s">
        <v>1004</v>
      </c>
      <c r="B270" s="12" t="n">
        <v>6</v>
      </c>
      <c r="C270" s="12" t="s">
        <v>2255</v>
      </c>
      <c r="D270" s="12" t="s">
        <v>2256</v>
      </c>
      <c r="E270" s="12"/>
      <c r="F270" s="12" t="s">
        <v>2090</v>
      </c>
      <c r="G270" s="12" t="s">
        <v>1667</v>
      </c>
      <c r="H270" s="12"/>
      <c r="I270" s="12"/>
    </row>
    <row r="271" customFormat="false" ht="24" hidden="false" customHeight="true" outlineLevel="0" collapsed="false">
      <c r="A271" s="12" t="s">
        <v>1004</v>
      </c>
      <c r="B271" s="12" t="n">
        <v>7</v>
      </c>
      <c r="C271" s="12" t="s">
        <v>2095</v>
      </c>
      <c r="D271" s="12" t="s">
        <v>2096</v>
      </c>
      <c r="E271" s="12"/>
      <c r="F271" s="12" t="s">
        <v>2097</v>
      </c>
      <c r="G271" s="12" t="s">
        <v>2098</v>
      </c>
      <c r="H271" s="12"/>
      <c r="I271" s="12"/>
    </row>
    <row r="272" customFormat="false" ht="15" hidden="false" customHeight="true" outlineLevel="0" collapsed="false">
      <c r="A272" s="12" t="s">
        <v>1004</v>
      </c>
      <c r="B272" s="12" t="n">
        <v>8</v>
      </c>
      <c r="C272" s="12" t="s">
        <v>1682</v>
      </c>
      <c r="D272" s="12" t="s">
        <v>1544</v>
      </c>
      <c r="E272" s="12"/>
      <c r="F272" s="12" t="s">
        <v>2102</v>
      </c>
      <c r="G272" s="12" t="s">
        <v>1546</v>
      </c>
      <c r="H272" s="12"/>
      <c r="I272" s="12"/>
    </row>
    <row r="273" customFormat="false" ht="24" hidden="false" customHeight="true" outlineLevel="0" collapsed="false">
      <c r="A273" s="12" t="s">
        <v>1004</v>
      </c>
      <c r="B273" s="12" t="n">
        <v>9</v>
      </c>
      <c r="C273" s="12" t="s">
        <v>2103</v>
      </c>
      <c r="D273" s="12" t="s">
        <v>2092</v>
      </c>
      <c r="E273" s="12"/>
      <c r="F273" s="12" t="s">
        <v>1690</v>
      </c>
      <c r="G273" s="12" t="s">
        <v>2104</v>
      </c>
      <c r="H273" s="12"/>
      <c r="I273" s="12"/>
    </row>
    <row r="274" customFormat="false" ht="15" hidden="false" customHeight="true" outlineLevel="0" collapsed="false">
      <c r="A274" s="12" t="s">
        <v>1004</v>
      </c>
      <c r="B274" s="12" t="n">
        <v>10</v>
      </c>
      <c r="C274" s="12" t="s">
        <v>2105</v>
      </c>
      <c r="D274" s="12" t="s">
        <v>2257</v>
      </c>
      <c r="E274" s="12"/>
      <c r="F274" s="12" t="s">
        <v>2079</v>
      </c>
      <c r="G274" s="12" t="s">
        <v>2108</v>
      </c>
      <c r="H274" s="12"/>
      <c r="I274" s="12"/>
    </row>
    <row r="275" customFormat="false" ht="15" hidden="false" customHeight="true" outlineLevel="0" collapsed="false">
      <c r="A275" s="12" t="s">
        <v>1012</v>
      </c>
      <c r="B275" s="12" t="n">
        <v>1</v>
      </c>
      <c r="C275" s="12" t="s">
        <v>2258</v>
      </c>
      <c r="D275" s="12" t="s">
        <v>2259</v>
      </c>
      <c r="E275" s="12"/>
      <c r="F275" s="12" t="s">
        <v>2111</v>
      </c>
      <c r="G275" s="12" t="s">
        <v>2112</v>
      </c>
      <c r="H275" s="12"/>
      <c r="I275" s="12"/>
    </row>
    <row r="276" customFormat="false" ht="24" hidden="false" customHeight="true" outlineLevel="0" collapsed="false">
      <c r="A276" s="12" t="s">
        <v>1012</v>
      </c>
      <c r="B276" s="12" t="n">
        <v>2</v>
      </c>
      <c r="C276" s="12" t="s">
        <v>2113</v>
      </c>
      <c r="D276" s="12" t="s">
        <v>2260</v>
      </c>
      <c r="E276" s="12"/>
      <c r="F276" s="12" t="s">
        <v>2261</v>
      </c>
      <c r="G276" s="12" t="s">
        <v>2262</v>
      </c>
      <c r="H276" s="12"/>
      <c r="I276" s="12"/>
    </row>
    <row r="277" customFormat="false" ht="24" hidden="false" customHeight="true" outlineLevel="0" collapsed="false">
      <c r="A277" s="12" t="s">
        <v>1012</v>
      </c>
      <c r="B277" s="12" t="n">
        <v>3</v>
      </c>
      <c r="C277" s="12" t="s">
        <v>2263</v>
      </c>
      <c r="D277" s="12" t="s">
        <v>2264</v>
      </c>
      <c r="E277" s="12"/>
      <c r="F277" s="12" t="s">
        <v>2111</v>
      </c>
      <c r="G277" s="12" t="s">
        <v>2265</v>
      </c>
      <c r="H277" s="12" t="s">
        <v>2266</v>
      </c>
      <c r="I277" s="12"/>
    </row>
    <row r="278" customFormat="false" ht="24" hidden="false" customHeight="true" outlineLevel="0" collapsed="false">
      <c r="A278" s="12" t="s">
        <v>1012</v>
      </c>
      <c r="B278" s="12" t="n">
        <v>4</v>
      </c>
      <c r="C278" s="12" t="s">
        <v>2117</v>
      </c>
      <c r="D278" s="12" t="s">
        <v>2267</v>
      </c>
      <c r="E278" s="12"/>
      <c r="F278" s="12" t="s">
        <v>1710</v>
      </c>
      <c r="G278" s="12" t="s">
        <v>1641</v>
      </c>
      <c r="H278" s="12"/>
      <c r="I278" s="12"/>
    </row>
    <row r="279" customFormat="false" ht="24" hidden="false" customHeight="true" outlineLevel="0" collapsed="false">
      <c r="A279" s="12" t="s">
        <v>1012</v>
      </c>
      <c r="B279" s="12" t="n">
        <v>5</v>
      </c>
      <c r="C279" s="12" t="s">
        <v>2119</v>
      </c>
      <c r="D279" s="12" t="s">
        <v>2268</v>
      </c>
      <c r="E279" s="12"/>
      <c r="F279" s="12" t="s">
        <v>2121</v>
      </c>
      <c r="G279" s="12" t="s">
        <v>1641</v>
      </c>
      <c r="H279" s="12"/>
      <c r="I279" s="12"/>
    </row>
    <row r="280" customFormat="false" ht="24" hidden="false" customHeight="true" outlineLevel="0" collapsed="false">
      <c r="A280" s="12" t="s">
        <v>1012</v>
      </c>
      <c r="B280" s="12" t="n">
        <v>6</v>
      </c>
      <c r="C280" s="12" t="s">
        <v>2269</v>
      </c>
      <c r="D280" s="12" t="s">
        <v>2270</v>
      </c>
      <c r="E280" s="12"/>
      <c r="F280" s="12" t="s">
        <v>2124</v>
      </c>
      <c r="G280" s="12" t="s">
        <v>1546</v>
      </c>
      <c r="H280" s="12"/>
      <c r="I280" s="12"/>
    </row>
    <row r="281" customFormat="false" ht="24" hidden="false" customHeight="true" outlineLevel="0" collapsed="false">
      <c r="A281" s="12" t="s">
        <v>1012</v>
      </c>
      <c r="B281" s="12" t="n">
        <v>7</v>
      </c>
      <c r="C281" s="12" t="s">
        <v>1719</v>
      </c>
      <c r="D281" s="12" t="s">
        <v>2125</v>
      </c>
      <c r="E281" s="12"/>
      <c r="F281" s="12" t="s">
        <v>1721</v>
      </c>
      <c r="G281" s="12" t="s">
        <v>2126</v>
      </c>
      <c r="H281" s="12"/>
      <c r="I281" s="12"/>
    </row>
    <row r="282" customFormat="false" ht="24" hidden="false" customHeight="true" outlineLevel="0" collapsed="false">
      <c r="A282" s="12" t="s">
        <v>1012</v>
      </c>
      <c r="B282" s="12" t="n">
        <v>8</v>
      </c>
      <c r="C282" s="12" t="s">
        <v>1919</v>
      </c>
      <c r="D282" s="12" t="s">
        <v>2127</v>
      </c>
      <c r="E282" s="12"/>
      <c r="F282" s="12" t="s">
        <v>1978</v>
      </c>
      <c r="G282" s="12" t="s">
        <v>1979</v>
      </c>
      <c r="H282" s="12"/>
      <c r="I282" s="12"/>
    </row>
    <row r="283" customFormat="false" ht="15" hidden="false" customHeight="true" outlineLevel="0" collapsed="false">
      <c r="A283" s="12" t="s">
        <v>1012</v>
      </c>
      <c r="B283" s="12" t="n">
        <v>9</v>
      </c>
      <c r="C283" s="12" t="s">
        <v>1920</v>
      </c>
      <c r="D283" s="12" t="s">
        <v>1544</v>
      </c>
      <c r="E283" s="12"/>
      <c r="F283" s="12" t="s">
        <v>2271</v>
      </c>
      <c r="G283" s="12" t="s">
        <v>1546</v>
      </c>
      <c r="H283" s="12"/>
      <c r="I283" s="12"/>
    </row>
    <row r="284" customFormat="false" ht="24" hidden="false" customHeight="true" outlineLevel="0" collapsed="false">
      <c r="A284" s="12" t="s">
        <v>1012</v>
      </c>
      <c r="B284" s="12" t="n">
        <v>10</v>
      </c>
      <c r="C284" s="12" t="s">
        <v>2131</v>
      </c>
      <c r="D284" s="12" t="s">
        <v>2272</v>
      </c>
      <c r="E284" s="12"/>
      <c r="F284" s="12" t="s">
        <v>1710</v>
      </c>
      <c r="G284" s="12" t="s">
        <v>1718</v>
      </c>
      <c r="H284" s="12"/>
      <c r="I284" s="12"/>
    </row>
    <row r="285" customFormat="false" ht="24" hidden="false" customHeight="true" outlineLevel="0" collapsed="false">
      <c r="A285" s="12" t="s">
        <v>1019</v>
      </c>
      <c r="B285" s="12" t="n">
        <v>1</v>
      </c>
      <c r="C285" s="12" t="s">
        <v>2133</v>
      </c>
      <c r="D285" s="12" t="s">
        <v>2273</v>
      </c>
      <c r="E285" s="12"/>
      <c r="F285" s="12" t="s">
        <v>2135</v>
      </c>
      <c r="G285" s="12" t="s">
        <v>2136</v>
      </c>
      <c r="H285" s="12"/>
      <c r="I285" s="12"/>
    </row>
    <row r="286" customFormat="false" ht="24" hidden="false" customHeight="true" outlineLevel="0" collapsed="false">
      <c r="A286" s="12" t="s">
        <v>1019</v>
      </c>
      <c r="B286" s="12" t="n">
        <v>2</v>
      </c>
      <c r="C286" s="12" t="s">
        <v>2137</v>
      </c>
      <c r="D286" s="12" t="s">
        <v>2260</v>
      </c>
      <c r="E286" s="12"/>
      <c r="F286" s="12" t="s">
        <v>2138</v>
      </c>
      <c r="G286" s="12" t="s">
        <v>2139</v>
      </c>
      <c r="H286" s="12" t="s">
        <v>2140</v>
      </c>
      <c r="I286" s="12"/>
    </row>
    <row r="287" customFormat="false" ht="24" hidden="false" customHeight="true" outlineLevel="0" collapsed="false">
      <c r="A287" s="12" t="s">
        <v>1019</v>
      </c>
      <c r="B287" s="12" t="n">
        <v>3</v>
      </c>
      <c r="C287" s="12" t="s">
        <v>1933</v>
      </c>
      <c r="D287" s="12" t="s">
        <v>2141</v>
      </c>
      <c r="E287" s="12"/>
      <c r="F287" s="12" t="s">
        <v>1935</v>
      </c>
      <c r="G287" s="12" t="s">
        <v>2142</v>
      </c>
      <c r="H287" s="12"/>
      <c r="I287" s="12"/>
    </row>
    <row r="288" customFormat="false" ht="24" hidden="false" customHeight="true" outlineLevel="0" collapsed="false">
      <c r="A288" s="12" t="s">
        <v>1019</v>
      </c>
      <c r="B288" s="12" t="n">
        <v>4</v>
      </c>
      <c r="C288" s="12" t="s">
        <v>1937</v>
      </c>
      <c r="D288" s="12" t="s">
        <v>2143</v>
      </c>
      <c r="E288" s="12"/>
      <c r="F288" s="12" t="s">
        <v>1939</v>
      </c>
      <c r="G288" s="12" t="s">
        <v>2144</v>
      </c>
      <c r="H288" s="12"/>
      <c r="I288" s="12"/>
    </row>
    <row r="289" customFormat="false" ht="24" hidden="false" customHeight="true" outlineLevel="0" collapsed="false">
      <c r="A289" s="12" t="s">
        <v>1019</v>
      </c>
      <c r="B289" s="12" t="n">
        <v>5</v>
      </c>
      <c r="C289" s="12" t="s">
        <v>1941</v>
      </c>
      <c r="D289" s="12" t="s">
        <v>2145</v>
      </c>
      <c r="E289" s="12"/>
      <c r="F289" s="12" t="s">
        <v>2146</v>
      </c>
      <c r="G289" s="12" t="s">
        <v>1944</v>
      </c>
      <c r="H289" s="12"/>
      <c r="I289" s="12"/>
    </row>
    <row r="290" customFormat="false" ht="24" hidden="false" customHeight="true" outlineLevel="0" collapsed="false">
      <c r="A290" s="12" t="s">
        <v>1019</v>
      </c>
      <c r="B290" s="12" t="n">
        <v>6</v>
      </c>
      <c r="C290" s="12" t="s">
        <v>2147</v>
      </c>
      <c r="D290" s="12" t="s">
        <v>2270</v>
      </c>
      <c r="E290" s="12"/>
      <c r="F290" s="12" t="s">
        <v>1946</v>
      </c>
      <c r="G290" s="12" t="s">
        <v>1947</v>
      </c>
      <c r="H290" s="12"/>
      <c r="I290" s="12"/>
    </row>
    <row r="291" customFormat="false" ht="15" hidden="false" customHeight="true" outlineLevel="0" collapsed="false">
      <c r="A291" s="12" t="s">
        <v>1019</v>
      </c>
      <c r="B291" s="12" t="n">
        <v>7</v>
      </c>
      <c r="C291" s="12" t="s">
        <v>1950</v>
      </c>
      <c r="D291" s="12" t="s">
        <v>2257</v>
      </c>
      <c r="E291" s="12"/>
      <c r="F291" s="12" t="s">
        <v>2075</v>
      </c>
      <c r="G291" s="12" t="s">
        <v>2274</v>
      </c>
      <c r="H291" s="12"/>
      <c r="I291" s="12"/>
    </row>
    <row r="292" customFormat="false" ht="15" hidden="false" customHeight="true" outlineLevel="0" collapsed="false">
      <c r="A292" s="12" t="s">
        <v>1019</v>
      </c>
      <c r="B292" s="12" t="n">
        <v>8</v>
      </c>
      <c r="C292" s="12" t="s">
        <v>1953</v>
      </c>
      <c r="D292" s="12" t="s">
        <v>1544</v>
      </c>
      <c r="E292" s="12"/>
      <c r="F292" s="12" t="s">
        <v>2275</v>
      </c>
      <c r="G292" s="12" t="s">
        <v>1546</v>
      </c>
      <c r="H292" s="12"/>
      <c r="I292" s="12"/>
    </row>
    <row r="293" customFormat="false" ht="24" hidden="false" customHeight="true" outlineLevel="0" collapsed="false">
      <c r="A293" s="12" t="s">
        <v>1019</v>
      </c>
      <c r="B293" s="12" t="n">
        <v>9</v>
      </c>
      <c r="C293" s="12" t="s">
        <v>2151</v>
      </c>
      <c r="D293" s="12" t="s">
        <v>1606</v>
      </c>
      <c r="E293" s="12"/>
      <c r="F293" s="12" t="s">
        <v>2276</v>
      </c>
      <c r="G293" s="12" t="s">
        <v>1546</v>
      </c>
      <c r="H293" s="12"/>
      <c r="I293" s="12"/>
    </row>
    <row r="294" customFormat="false" ht="24" hidden="false" customHeight="true" outlineLevel="0" collapsed="false">
      <c r="A294" s="12" t="s">
        <v>1019</v>
      </c>
      <c r="B294" s="12" t="n">
        <v>10</v>
      </c>
      <c r="C294" s="12" t="s">
        <v>2153</v>
      </c>
      <c r="D294" s="12" t="s">
        <v>2277</v>
      </c>
      <c r="E294" s="12"/>
      <c r="F294" s="12" t="s">
        <v>2155</v>
      </c>
      <c r="G294" s="12" t="s">
        <v>2156</v>
      </c>
      <c r="H294" s="12"/>
      <c r="I294" s="12"/>
    </row>
    <row r="295" customFormat="false" ht="24" hidden="false" customHeight="true" outlineLevel="0" collapsed="false">
      <c r="A295" s="12" t="s">
        <v>748</v>
      </c>
      <c r="B295" s="12" t="n">
        <v>1</v>
      </c>
      <c r="C295" s="12" t="s">
        <v>2278</v>
      </c>
      <c r="D295" s="12" t="s">
        <v>2042</v>
      </c>
      <c r="E295" s="12"/>
      <c r="F295" s="12" t="s">
        <v>2279</v>
      </c>
      <c r="G295" s="12" t="s">
        <v>2044</v>
      </c>
      <c r="H295" s="12"/>
      <c r="I295" s="12"/>
    </row>
    <row r="296" customFormat="false" ht="24" hidden="false" customHeight="true" outlineLevel="0" collapsed="false">
      <c r="A296" s="12" t="s">
        <v>748</v>
      </c>
      <c r="B296" s="12" t="n">
        <v>2</v>
      </c>
      <c r="C296" s="12" t="s">
        <v>2046</v>
      </c>
      <c r="D296" s="12" t="s">
        <v>2280</v>
      </c>
      <c r="E296" s="12"/>
      <c r="F296" s="12" t="s">
        <v>2048</v>
      </c>
      <c r="G296" s="12" t="s">
        <v>2281</v>
      </c>
      <c r="H296" s="12" t="s">
        <v>2050</v>
      </c>
      <c r="I296" s="12"/>
    </row>
    <row r="297" customFormat="false" ht="24" hidden="false" customHeight="true" outlineLevel="0" collapsed="false">
      <c r="A297" s="12" t="s">
        <v>748</v>
      </c>
      <c r="B297" s="12" t="n">
        <v>3</v>
      </c>
      <c r="C297" s="12" t="s">
        <v>2161</v>
      </c>
      <c r="D297" s="12" t="s">
        <v>2282</v>
      </c>
      <c r="E297" s="12"/>
      <c r="F297" s="12" t="s">
        <v>2283</v>
      </c>
      <c r="G297" s="12" t="s">
        <v>1750</v>
      </c>
      <c r="H297" s="12"/>
      <c r="I297" s="12"/>
    </row>
    <row r="298" customFormat="false" ht="24" hidden="false" customHeight="true" outlineLevel="0" collapsed="false">
      <c r="A298" s="12" t="s">
        <v>748</v>
      </c>
      <c r="B298" s="12" t="n">
        <v>4</v>
      </c>
      <c r="C298" s="12" t="s">
        <v>2284</v>
      </c>
      <c r="D298" s="12" t="s">
        <v>2285</v>
      </c>
      <c r="E298" s="12"/>
      <c r="F298" s="12" t="s">
        <v>2286</v>
      </c>
      <c r="G298" s="12" t="s">
        <v>2168</v>
      </c>
      <c r="H298" s="12" t="s">
        <v>2287</v>
      </c>
      <c r="I298" s="12"/>
    </row>
    <row r="299" customFormat="false" ht="24" hidden="false" customHeight="true" outlineLevel="0" collapsed="false">
      <c r="A299" s="12" t="s">
        <v>748</v>
      </c>
      <c r="B299" s="12" t="n">
        <v>5</v>
      </c>
      <c r="C299" s="12" t="s">
        <v>2288</v>
      </c>
      <c r="D299" s="12" t="s">
        <v>2289</v>
      </c>
      <c r="E299" s="12"/>
      <c r="F299" s="12" t="s">
        <v>2290</v>
      </c>
      <c r="G299" s="12" t="s">
        <v>2291</v>
      </c>
      <c r="H299" s="12"/>
      <c r="I299" s="12"/>
    </row>
    <row r="300" customFormat="false" ht="24" hidden="false" customHeight="true" outlineLevel="0" collapsed="false">
      <c r="A300" s="12" t="s">
        <v>748</v>
      </c>
      <c r="B300" s="12" t="n">
        <v>6</v>
      </c>
      <c r="C300" s="12" t="s">
        <v>2292</v>
      </c>
      <c r="D300" s="12" t="s">
        <v>2293</v>
      </c>
      <c r="E300" s="12"/>
      <c r="F300" s="12" t="s">
        <v>2053</v>
      </c>
      <c r="G300" s="12" t="s">
        <v>1654</v>
      </c>
      <c r="H300" s="12" t="s">
        <v>1655</v>
      </c>
      <c r="I300" s="12"/>
    </row>
    <row r="301" customFormat="false" ht="24" hidden="false" customHeight="true" outlineLevel="0" collapsed="false">
      <c r="A301" s="12" t="s">
        <v>748</v>
      </c>
      <c r="B301" s="12" t="n">
        <v>7</v>
      </c>
      <c r="C301" s="12" t="s">
        <v>2294</v>
      </c>
      <c r="D301" s="12" t="s">
        <v>2295</v>
      </c>
      <c r="E301" s="12"/>
      <c r="F301" s="12" t="s">
        <v>2060</v>
      </c>
      <c r="G301" s="12" t="s">
        <v>2061</v>
      </c>
      <c r="H301" s="12"/>
      <c r="I301" s="12"/>
    </row>
    <row r="302" customFormat="false" ht="24" hidden="false" customHeight="true" outlineLevel="0" collapsed="false">
      <c r="A302" s="12" t="s">
        <v>748</v>
      </c>
      <c r="B302" s="12" t="n">
        <v>8</v>
      </c>
      <c r="C302" s="12" t="s">
        <v>2063</v>
      </c>
      <c r="D302" s="12" t="s">
        <v>2296</v>
      </c>
      <c r="E302" s="12"/>
      <c r="F302" s="12" t="s">
        <v>1978</v>
      </c>
      <c r="G302" s="12" t="s">
        <v>1979</v>
      </c>
      <c r="H302" s="12"/>
      <c r="I302" s="12"/>
    </row>
    <row r="303" customFormat="false" ht="15" hidden="false" customHeight="true" outlineLevel="0" collapsed="false">
      <c r="A303" s="12" t="s">
        <v>748</v>
      </c>
      <c r="B303" s="12" t="n">
        <v>9</v>
      </c>
      <c r="C303" s="12" t="s">
        <v>2065</v>
      </c>
      <c r="D303" s="12" t="s">
        <v>1544</v>
      </c>
      <c r="E303" s="12"/>
      <c r="F303" s="12" t="s">
        <v>2297</v>
      </c>
      <c r="G303" s="12" t="s">
        <v>1546</v>
      </c>
      <c r="H303" s="12"/>
      <c r="I303" s="12"/>
    </row>
    <row r="304" customFormat="false" ht="24" hidden="false" customHeight="true" outlineLevel="0" collapsed="false">
      <c r="A304" s="12" t="s">
        <v>748</v>
      </c>
      <c r="B304" s="12" t="n">
        <v>10</v>
      </c>
      <c r="C304" s="12" t="s">
        <v>2069</v>
      </c>
      <c r="D304" s="12" t="s">
        <v>2298</v>
      </c>
      <c r="E304" s="12"/>
      <c r="F304" s="12" t="s">
        <v>2071</v>
      </c>
      <c r="G304" s="12" t="s">
        <v>1649</v>
      </c>
      <c r="H304" s="12" t="s">
        <v>2072</v>
      </c>
      <c r="I304" s="12"/>
    </row>
    <row r="305" customFormat="false" ht="24" hidden="false" customHeight="true" outlineLevel="0" collapsed="false">
      <c r="A305" s="12" t="s">
        <v>753</v>
      </c>
      <c r="B305" s="12" t="n">
        <v>1</v>
      </c>
      <c r="C305" s="12" t="s">
        <v>2077</v>
      </c>
      <c r="D305" s="12" t="s">
        <v>2299</v>
      </c>
      <c r="E305" s="12"/>
      <c r="F305" s="12" t="s">
        <v>2079</v>
      </c>
      <c r="G305" s="12" t="s">
        <v>2300</v>
      </c>
      <c r="H305" s="12"/>
      <c r="I305" s="12"/>
    </row>
    <row r="306" customFormat="false" ht="24" hidden="false" customHeight="true" outlineLevel="0" collapsed="false">
      <c r="A306" s="12" t="s">
        <v>753</v>
      </c>
      <c r="B306" s="12" t="n">
        <v>2</v>
      </c>
      <c r="C306" s="12" t="s">
        <v>2180</v>
      </c>
      <c r="D306" s="12" t="s">
        <v>2301</v>
      </c>
      <c r="E306" s="12"/>
      <c r="F306" s="12" t="s">
        <v>2079</v>
      </c>
      <c r="G306" s="12" t="s">
        <v>2302</v>
      </c>
      <c r="H306" s="12"/>
      <c r="I306" s="12"/>
    </row>
    <row r="307" customFormat="false" ht="24" hidden="false" customHeight="true" outlineLevel="0" collapsed="false">
      <c r="A307" s="12" t="s">
        <v>753</v>
      </c>
      <c r="B307" s="12" t="n">
        <v>3</v>
      </c>
      <c r="C307" s="12" t="s">
        <v>2303</v>
      </c>
      <c r="D307" s="12" t="s">
        <v>2092</v>
      </c>
      <c r="E307" s="12"/>
      <c r="F307" s="12" t="s">
        <v>2093</v>
      </c>
      <c r="G307" s="12" t="s">
        <v>2304</v>
      </c>
      <c r="H307" s="12"/>
      <c r="I307" s="12"/>
    </row>
    <row r="308" customFormat="false" ht="48" hidden="false" customHeight="true" outlineLevel="0" collapsed="false">
      <c r="A308" s="12" t="s">
        <v>753</v>
      </c>
      <c r="B308" s="12" t="n">
        <v>4</v>
      </c>
      <c r="C308" s="12" t="s">
        <v>2305</v>
      </c>
      <c r="D308" s="12" t="s">
        <v>2306</v>
      </c>
      <c r="E308" s="12"/>
      <c r="F308" s="12" t="s">
        <v>2185</v>
      </c>
      <c r="G308" s="12" t="s">
        <v>2307</v>
      </c>
      <c r="H308" s="12"/>
      <c r="I308" s="12" t="s">
        <v>2308</v>
      </c>
    </row>
    <row r="309" customFormat="false" ht="15" hidden="false" customHeight="true" outlineLevel="0" collapsed="false">
      <c r="A309" s="12" t="s">
        <v>753</v>
      </c>
      <c r="B309" s="12" t="n">
        <v>5</v>
      </c>
      <c r="C309" s="12" t="s">
        <v>2081</v>
      </c>
      <c r="D309" s="12" t="s">
        <v>2309</v>
      </c>
      <c r="E309" s="12"/>
      <c r="F309" s="12" t="s">
        <v>2079</v>
      </c>
      <c r="G309" s="12" t="s">
        <v>2083</v>
      </c>
      <c r="H309" s="12"/>
      <c r="I309" s="12"/>
    </row>
    <row r="310" customFormat="false" ht="24" hidden="false" customHeight="true" outlineLevel="0" collapsed="false">
      <c r="A310" s="12" t="s">
        <v>753</v>
      </c>
      <c r="B310" s="12" t="n">
        <v>6</v>
      </c>
      <c r="C310" s="12" t="s">
        <v>2310</v>
      </c>
      <c r="D310" s="12" t="s">
        <v>2311</v>
      </c>
      <c r="E310" s="12"/>
      <c r="F310" s="12" t="s">
        <v>2312</v>
      </c>
      <c r="G310" s="12" t="s">
        <v>2313</v>
      </c>
      <c r="H310" s="12"/>
      <c r="I310" s="12"/>
    </row>
    <row r="311" customFormat="false" ht="24" hidden="false" customHeight="true" outlineLevel="0" collapsed="false">
      <c r="A311" s="12" t="s">
        <v>753</v>
      </c>
      <c r="B311" s="12" t="n">
        <v>7</v>
      </c>
      <c r="C311" s="12" t="s">
        <v>2314</v>
      </c>
      <c r="D311" s="12" t="s">
        <v>2315</v>
      </c>
      <c r="E311" s="12"/>
      <c r="F311" s="12" t="s">
        <v>2079</v>
      </c>
      <c r="G311" s="12" t="s">
        <v>2316</v>
      </c>
      <c r="H311" s="12"/>
      <c r="I311" s="12"/>
    </row>
    <row r="312" customFormat="false" ht="24" hidden="false" customHeight="true" outlineLevel="0" collapsed="false">
      <c r="A312" s="12" t="s">
        <v>753</v>
      </c>
      <c r="B312" s="12" t="n">
        <v>8</v>
      </c>
      <c r="C312" s="12" t="s">
        <v>2317</v>
      </c>
      <c r="D312" s="12" t="s">
        <v>2318</v>
      </c>
      <c r="E312" s="12"/>
      <c r="F312" s="12" t="s">
        <v>2319</v>
      </c>
      <c r="G312" s="12" t="s">
        <v>1579</v>
      </c>
      <c r="H312" s="12"/>
      <c r="I312" s="12"/>
    </row>
    <row r="313" customFormat="false" ht="15" hidden="false" customHeight="true" outlineLevel="0" collapsed="false">
      <c r="A313" s="12" t="s">
        <v>753</v>
      </c>
      <c r="B313" s="12" t="n">
        <v>9</v>
      </c>
      <c r="C313" s="12" t="s">
        <v>1682</v>
      </c>
      <c r="D313" s="12" t="s">
        <v>1544</v>
      </c>
      <c r="E313" s="12"/>
      <c r="F313" s="12" t="s">
        <v>2102</v>
      </c>
      <c r="G313" s="12" t="s">
        <v>1546</v>
      </c>
      <c r="H313" s="12"/>
      <c r="I313" s="12"/>
    </row>
    <row r="314" customFormat="false" ht="24" hidden="false" customHeight="true" outlineLevel="0" collapsed="false">
      <c r="A314" s="12" t="s">
        <v>753</v>
      </c>
      <c r="B314" s="12" t="n">
        <v>10</v>
      </c>
      <c r="C314" s="12" t="s">
        <v>2103</v>
      </c>
      <c r="D314" s="12" t="s">
        <v>2092</v>
      </c>
      <c r="E314" s="12"/>
      <c r="F314" s="12" t="s">
        <v>1690</v>
      </c>
      <c r="G314" s="12" t="s">
        <v>2320</v>
      </c>
      <c r="H314" s="12"/>
      <c r="I314" s="12"/>
    </row>
    <row r="315" customFormat="false" ht="24" hidden="false" customHeight="true" outlineLevel="0" collapsed="false">
      <c r="A315" s="12" t="s">
        <v>1044</v>
      </c>
      <c r="B315" s="12" t="n">
        <v>1</v>
      </c>
      <c r="C315" s="12" t="s">
        <v>2321</v>
      </c>
      <c r="D315" s="12" t="s">
        <v>2322</v>
      </c>
      <c r="E315" s="12"/>
      <c r="F315" s="12" t="s">
        <v>2196</v>
      </c>
      <c r="G315" s="12" t="s">
        <v>2323</v>
      </c>
      <c r="H315" s="12"/>
      <c r="I315" s="12"/>
    </row>
    <row r="316" customFormat="false" ht="24" hidden="false" customHeight="true" outlineLevel="0" collapsed="false">
      <c r="A316" s="12" t="s">
        <v>1044</v>
      </c>
      <c r="B316" s="12" t="n">
        <v>2</v>
      </c>
      <c r="C316" s="12" t="s">
        <v>2324</v>
      </c>
      <c r="D316" s="12" t="s">
        <v>2325</v>
      </c>
      <c r="E316" s="12"/>
      <c r="F316" s="12" t="s">
        <v>2115</v>
      </c>
      <c r="G316" s="12" t="s">
        <v>2326</v>
      </c>
      <c r="H316" s="12"/>
      <c r="I316" s="12"/>
    </row>
    <row r="317" customFormat="false" ht="24" hidden="false" customHeight="true" outlineLevel="0" collapsed="false">
      <c r="A317" s="12" t="s">
        <v>1044</v>
      </c>
      <c r="B317" s="12" t="n">
        <v>3</v>
      </c>
      <c r="C317" s="12" t="s">
        <v>2327</v>
      </c>
      <c r="D317" s="12" t="s">
        <v>2328</v>
      </c>
      <c r="E317" s="12"/>
      <c r="F317" s="12" t="s">
        <v>2329</v>
      </c>
      <c r="G317" s="12" t="s">
        <v>2330</v>
      </c>
      <c r="H317" s="12" t="s">
        <v>2331</v>
      </c>
      <c r="I317" s="12"/>
    </row>
    <row r="318" customFormat="false" ht="15" hidden="false" customHeight="true" outlineLevel="0" collapsed="false">
      <c r="A318" s="12" t="s">
        <v>1044</v>
      </c>
      <c r="B318" s="12" t="n">
        <v>4</v>
      </c>
      <c r="C318" s="12" t="s">
        <v>2332</v>
      </c>
      <c r="D318" s="12" t="s">
        <v>2333</v>
      </c>
      <c r="E318" s="12"/>
      <c r="F318" s="12" t="s">
        <v>2111</v>
      </c>
      <c r="G318" s="12" t="s">
        <v>2334</v>
      </c>
      <c r="H318" s="12"/>
      <c r="I318" s="12"/>
    </row>
    <row r="319" customFormat="false" ht="24" hidden="false" customHeight="true" outlineLevel="0" collapsed="false">
      <c r="A319" s="12" t="s">
        <v>1044</v>
      </c>
      <c r="B319" s="12" t="n">
        <v>5</v>
      </c>
      <c r="C319" s="12" t="s">
        <v>2335</v>
      </c>
      <c r="D319" s="12" t="s">
        <v>2336</v>
      </c>
      <c r="E319" s="12"/>
      <c r="F319" s="12" t="s">
        <v>2204</v>
      </c>
      <c r="G319" s="12" t="s">
        <v>2205</v>
      </c>
      <c r="H319" s="12"/>
      <c r="I319" s="12"/>
    </row>
    <row r="320" customFormat="false" ht="24" hidden="false" customHeight="true" outlineLevel="0" collapsed="false">
      <c r="A320" s="12" t="s">
        <v>1044</v>
      </c>
      <c r="B320" s="12" t="n">
        <v>6</v>
      </c>
      <c r="C320" s="12" t="s">
        <v>2117</v>
      </c>
      <c r="D320" s="12" t="s">
        <v>2337</v>
      </c>
      <c r="E320" s="12"/>
      <c r="F320" s="12" t="s">
        <v>1710</v>
      </c>
      <c r="G320" s="12" t="s">
        <v>1641</v>
      </c>
      <c r="H320" s="12"/>
      <c r="I320" s="12"/>
    </row>
    <row r="321" customFormat="false" ht="15" hidden="false" customHeight="true" outlineLevel="0" collapsed="false">
      <c r="A321" s="12" t="s">
        <v>1044</v>
      </c>
      <c r="B321" s="12" t="n">
        <v>7</v>
      </c>
      <c r="C321" s="12" t="s">
        <v>2338</v>
      </c>
      <c r="D321" s="12" t="s">
        <v>2339</v>
      </c>
      <c r="E321" s="12"/>
      <c r="F321" s="12" t="s">
        <v>2124</v>
      </c>
      <c r="G321" s="12" t="s">
        <v>1546</v>
      </c>
      <c r="H321" s="12"/>
      <c r="I321" s="12"/>
    </row>
    <row r="322" customFormat="false" ht="24" hidden="false" customHeight="true" outlineLevel="0" collapsed="false">
      <c r="A322" s="12" t="s">
        <v>1044</v>
      </c>
      <c r="B322" s="12" t="n">
        <v>8</v>
      </c>
      <c r="C322" s="12" t="s">
        <v>1719</v>
      </c>
      <c r="D322" s="12" t="s">
        <v>2125</v>
      </c>
      <c r="E322" s="12"/>
      <c r="F322" s="12" t="s">
        <v>1721</v>
      </c>
      <c r="G322" s="12" t="s">
        <v>2126</v>
      </c>
      <c r="H322" s="12"/>
      <c r="I322" s="12"/>
    </row>
    <row r="323" customFormat="false" ht="24" hidden="false" customHeight="true" outlineLevel="0" collapsed="false">
      <c r="A323" s="12" t="s">
        <v>1044</v>
      </c>
      <c r="B323" s="12" t="n">
        <v>9</v>
      </c>
      <c r="C323" s="12" t="s">
        <v>1919</v>
      </c>
      <c r="D323" s="12" t="s">
        <v>2340</v>
      </c>
      <c r="E323" s="12"/>
      <c r="F323" s="12" t="s">
        <v>1978</v>
      </c>
      <c r="G323" s="12" t="s">
        <v>1979</v>
      </c>
      <c r="H323" s="12"/>
      <c r="I323" s="12"/>
    </row>
    <row r="324" customFormat="false" ht="15" hidden="false" customHeight="true" outlineLevel="0" collapsed="false">
      <c r="A324" s="12" t="s">
        <v>1044</v>
      </c>
      <c r="B324" s="12" t="n">
        <v>10</v>
      </c>
      <c r="C324" s="12" t="s">
        <v>1920</v>
      </c>
      <c r="D324" s="12" t="s">
        <v>1544</v>
      </c>
      <c r="E324" s="12"/>
      <c r="F324" s="12" t="s">
        <v>2341</v>
      </c>
      <c r="G324" s="12" t="s">
        <v>1546</v>
      </c>
      <c r="H324" s="12"/>
      <c r="I324" s="12"/>
    </row>
    <row r="325" customFormat="false" ht="24" hidden="false" customHeight="true" outlineLevel="0" collapsed="false">
      <c r="A325" s="12" t="s">
        <v>1053</v>
      </c>
      <c r="B325" s="12" t="n">
        <v>1</v>
      </c>
      <c r="C325" s="12" t="s">
        <v>2342</v>
      </c>
      <c r="D325" s="12" t="s">
        <v>2343</v>
      </c>
      <c r="E325" s="12"/>
      <c r="F325" s="12" t="s">
        <v>2135</v>
      </c>
      <c r="G325" s="12" t="s">
        <v>2136</v>
      </c>
      <c r="H325" s="12"/>
      <c r="I325" s="12"/>
    </row>
    <row r="326" customFormat="false" ht="24" hidden="false" customHeight="true" outlineLevel="0" collapsed="false">
      <c r="A326" s="12" t="s">
        <v>1053</v>
      </c>
      <c r="B326" s="12" t="n">
        <v>2</v>
      </c>
      <c r="C326" s="12" t="s">
        <v>2344</v>
      </c>
      <c r="D326" s="12" t="s">
        <v>2325</v>
      </c>
      <c r="E326" s="12"/>
      <c r="F326" s="12" t="s">
        <v>2138</v>
      </c>
      <c r="G326" s="12" t="s">
        <v>2139</v>
      </c>
      <c r="H326" s="12" t="s">
        <v>2345</v>
      </c>
      <c r="I326" s="12"/>
    </row>
    <row r="327" customFormat="false" ht="24" hidden="false" customHeight="true" outlineLevel="0" collapsed="false">
      <c r="A327" s="12" t="s">
        <v>1053</v>
      </c>
      <c r="B327" s="12" t="n">
        <v>3</v>
      </c>
      <c r="C327" s="12" t="s">
        <v>2346</v>
      </c>
      <c r="D327" s="12" t="s">
        <v>2347</v>
      </c>
      <c r="E327" s="12"/>
      <c r="F327" s="12" t="s">
        <v>2138</v>
      </c>
      <c r="G327" s="12" t="s">
        <v>2139</v>
      </c>
      <c r="H327" s="12" t="s">
        <v>2348</v>
      </c>
      <c r="I327" s="12"/>
    </row>
    <row r="328" customFormat="false" ht="24" hidden="false" customHeight="true" outlineLevel="0" collapsed="false">
      <c r="A328" s="12" t="s">
        <v>1053</v>
      </c>
      <c r="B328" s="12" t="n">
        <v>4</v>
      </c>
      <c r="C328" s="12" t="s">
        <v>1933</v>
      </c>
      <c r="D328" s="12" t="s">
        <v>2349</v>
      </c>
      <c r="E328" s="12"/>
      <c r="F328" s="12" t="s">
        <v>1935</v>
      </c>
      <c r="G328" s="12" t="s">
        <v>2142</v>
      </c>
      <c r="H328" s="12"/>
      <c r="I328" s="12"/>
    </row>
    <row r="329" customFormat="false" ht="24" hidden="false" customHeight="true" outlineLevel="0" collapsed="false">
      <c r="A329" s="12" t="s">
        <v>1053</v>
      </c>
      <c r="B329" s="12" t="n">
        <v>5</v>
      </c>
      <c r="C329" s="12" t="s">
        <v>1937</v>
      </c>
      <c r="D329" s="12" t="s">
        <v>2350</v>
      </c>
      <c r="E329" s="12"/>
      <c r="F329" s="12" t="s">
        <v>1939</v>
      </c>
      <c r="G329" s="12" t="s">
        <v>2351</v>
      </c>
      <c r="H329" s="12"/>
      <c r="I329" s="12"/>
    </row>
    <row r="330" customFormat="false" ht="24" hidden="false" customHeight="true" outlineLevel="0" collapsed="false">
      <c r="A330" s="12" t="s">
        <v>1053</v>
      </c>
      <c r="B330" s="12" t="n">
        <v>6</v>
      </c>
      <c r="C330" s="12" t="s">
        <v>1941</v>
      </c>
      <c r="D330" s="12" t="s">
        <v>2352</v>
      </c>
      <c r="E330" s="12"/>
      <c r="F330" s="12" t="s">
        <v>2146</v>
      </c>
      <c r="G330" s="12" t="s">
        <v>1944</v>
      </c>
      <c r="H330" s="12"/>
      <c r="I330" s="12"/>
    </row>
    <row r="331" customFormat="false" ht="24" hidden="false" customHeight="true" outlineLevel="0" collapsed="false">
      <c r="A331" s="12" t="s">
        <v>1053</v>
      </c>
      <c r="B331" s="12" t="n">
        <v>7</v>
      </c>
      <c r="C331" s="12" t="s">
        <v>2353</v>
      </c>
      <c r="D331" s="12" t="s">
        <v>2339</v>
      </c>
      <c r="E331" s="12"/>
      <c r="F331" s="12" t="s">
        <v>1946</v>
      </c>
      <c r="G331" s="12" t="s">
        <v>1947</v>
      </c>
      <c r="H331" s="12"/>
      <c r="I331" s="12"/>
    </row>
    <row r="332" customFormat="false" ht="15" hidden="false" customHeight="true" outlineLevel="0" collapsed="false">
      <c r="A332" s="12" t="s">
        <v>1053</v>
      </c>
      <c r="B332" s="12" t="n">
        <v>8</v>
      </c>
      <c r="C332" s="12" t="s">
        <v>1950</v>
      </c>
      <c r="D332" s="12" t="s">
        <v>2354</v>
      </c>
      <c r="E332" s="12"/>
      <c r="F332" s="12" t="s">
        <v>2355</v>
      </c>
      <c r="G332" s="12" t="s">
        <v>2356</v>
      </c>
      <c r="H332" s="12"/>
      <c r="I332" s="12"/>
    </row>
    <row r="333" customFormat="false" ht="15" hidden="false" customHeight="true" outlineLevel="0" collapsed="false">
      <c r="A333" s="12" t="s">
        <v>1053</v>
      </c>
      <c r="B333" s="12" t="n">
        <v>9</v>
      </c>
      <c r="C333" s="12" t="s">
        <v>1953</v>
      </c>
      <c r="D333" s="12" t="s">
        <v>1544</v>
      </c>
      <c r="E333" s="12"/>
      <c r="F333" s="12" t="s">
        <v>2357</v>
      </c>
      <c r="G333" s="12" t="s">
        <v>1546</v>
      </c>
      <c r="H333" s="12"/>
      <c r="I333" s="12"/>
    </row>
    <row r="334" customFormat="false" ht="24" hidden="false" customHeight="true" outlineLevel="0" collapsed="false">
      <c r="A334" s="12" t="s">
        <v>1053</v>
      </c>
      <c r="B334" s="12" t="n">
        <v>10</v>
      </c>
      <c r="C334" s="12" t="s">
        <v>2153</v>
      </c>
      <c r="D334" s="12" t="s">
        <v>2358</v>
      </c>
      <c r="E334" s="12"/>
      <c r="F334" s="12" t="s">
        <v>2155</v>
      </c>
      <c r="G334" s="12" t="s">
        <v>2156</v>
      </c>
      <c r="H334" s="12"/>
      <c r="I334" s="12"/>
    </row>
  </sheetData>
  <autoFilter ref="A1:I33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2026-10-18T00:05:44Z</dcterms:created>
  <dc:creator>openpyxl</dc:creator>
  <dc:description/>
  <dc:language>en-US</dc:language>
  <cp:lastModifiedBy/>
  <dcterms:modified xsi:type="dcterms:W3CDTF">2026-10-21T23:58:16Z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0x0101009D7A217153A4DE4DAC50DFC2094F47CB</vt:lpwstr>
  </property>
  <property fmtid="{D5CDD505-2E9C-101B-9397-08002B2CF9AE}" pid="3" name="MediaServiceImageTags">
    <vt:lpwstr/>
  </property>
</Properties>
</file>